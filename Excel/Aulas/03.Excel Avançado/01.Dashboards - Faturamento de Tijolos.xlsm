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filterPrivacy="1" codeName="EstaPastaDeTrabalho" hidePivotFieldList="1" defaultThemeVersion="124226"/>
  <xr:revisionPtr revIDLastSave="0" documentId="8_{3B4AC686-FFEB-418B-9BD0-E4FD4194A215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Tabelas Dinâmicas" sheetId="6" state="hidden" r:id="rId1"/>
    <sheet name="Dados" sheetId="1" r:id="rId2"/>
    <sheet name="Painel" sheetId="3" r:id="rId3"/>
  </sheets>
  <definedNames>
    <definedName name="SegmentaçãodeDados_Filial">#N/A</definedName>
    <definedName name="SegmentaçãodeDados_Produtos">#N/A</definedName>
    <definedName name="SegmentaçãodeDados_Região">#N/A</definedName>
  </definedNames>
  <calcPr calcId="191028"/>
  <pivotCaches>
    <pivotCache cacheId="20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<sst xmlns="http://schemas.openxmlformats.org/spreadsheetml/2006/main" count="94" uniqueCount="26">
  <si>
    <t>Filial</t>
  </si>
  <si>
    <t>Região</t>
  </si>
  <si>
    <t>Produtos</t>
  </si>
  <si>
    <t>Quantidade</t>
  </si>
  <si>
    <t>Preço</t>
  </si>
  <si>
    <t>Total de Vendas</t>
  </si>
  <si>
    <t>SJC</t>
  </si>
  <si>
    <t>Sudeste</t>
  </si>
  <si>
    <t>Tijolos de Pet</t>
  </si>
  <si>
    <t>Tijolos de Cinzas</t>
  </si>
  <si>
    <t>Tijolos de Pneus</t>
  </si>
  <si>
    <t>SP</t>
  </si>
  <si>
    <t>RJ</t>
  </si>
  <si>
    <t>Curitiba</t>
  </si>
  <si>
    <t>Sul</t>
  </si>
  <si>
    <t>Florianopolis</t>
  </si>
  <si>
    <t>São Gonçalo</t>
  </si>
  <si>
    <t>Soma de Total de Vendas</t>
  </si>
  <si>
    <t>Rótulos de Coluna</t>
  </si>
  <si>
    <t>Rótulos de Linha</t>
  </si>
  <si>
    <t>Total Geral</t>
  </si>
  <si>
    <t>Contagem de Produtos</t>
  </si>
  <si>
    <t>Faturamento por Filial e Região</t>
  </si>
  <si>
    <t>Contagem de Produto por Região</t>
  </si>
  <si>
    <t>Faturamento por Tipo de Produto e Região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</si>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</sst>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</numFmts>
  <fonts count="4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7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_-&quot;R$&quot;* #,##0.00_-;\-&quot;R$&quot;* #,##0.00_-;_-&quot;R$&quot;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sz val="14"/>
      </font>
      <fill>
        <patternFill>
          <fgColor theme="9"/>
          <bgColor theme="0"/>
        </patternFill>
      </fill>
    </dxf>
  </dxfs>
  <tableStyles count="1" defaultTableStyle="TableStyleMedium2" defaultPivotStyle="PivotStyleMedium9">
    <tableStyle name="Estilo de Segmentação de Dados 1" pivot="0" table="0" count="1" xr9:uid="{88B15847-12A0-4C5C-AF7C-D2EEA864CC26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de Tijolos - Resolvido.xlsm]Tabelas Dinâmicas!Tabela dinâmica2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9832445200314111"/>
          <c:y val="0.34462623255599872"/>
          <c:w val="0.40967727672697085"/>
          <c:h val="0.54070219014218213"/>
        </c:manualLayout>
      </c:layout>
      <c:pieChart>
        <c:varyColors val="1"/>
        <c:ser>
          <c:idx val="0"/>
          <c:order val="0"/>
          <c:tx>
            <c:strRef>
              <c:f>'Tabelas Dinâmicas'!$F$1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1F-4ED7-BB12-BA88A83066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1F-4ED7-BB12-BA88A83066B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Dinâmicas'!$E$2:$E$5</c:f>
              <c:strCache>
                <c:ptCount val="3"/>
                <c:pt idx="0">
                  <c:v>Sudeste</c:v>
                </c:pt>
                <c:pt idx="1">
                  <c:v>Sul</c:v>
                </c:pt>
                <c:pt idx="2">
                  <c:v>(vazio)</c:v>
                </c:pt>
              </c:strCache>
            </c:strRef>
          </c:cat>
          <c:val>
            <c:numRef>
              <c:f>'Tabelas Dinâmicas'!$F$2:$F$5</c:f>
              <c:numCache>
                <c:formatCode>General</c:formatCode>
                <c:ptCount val="3"/>
                <c:pt idx="0">
                  <c:v>12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1F-4ED7-BB12-BA88A83066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60101810078868645"/>
          <c:y val="0.15691146086964741"/>
          <c:w val="0.25541509193695161"/>
          <c:h val="0.290571851379563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de Tijolos - Resolvido.xlsm]Tabelas Dinâmicas!Tabela dinâmica3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346640405665056"/>
          <c:y val="0.15507766672631992"/>
          <c:w val="0.75381830910290426"/>
          <c:h val="0.759986346033450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Dinâmicas'!$I$1:$I$2</c:f>
              <c:strCache>
                <c:ptCount val="1"/>
                <c:pt idx="0">
                  <c:v>Sudeste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Dinâmicas'!$H$3:$H$7</c:f>
              <c:strCache>
                <c:ptCount val="4"/>
                <c:pt idx="0">
                  <c:v>Tijolos de Cinzas</c:v>
                </c:pt>
                <c:pt idx="1">
                  <c:v>Tijolos de Pet</c:v>
                </c:pt>
                <c:pt idx="2">
                  <c:v>Tijolos de Pneus</c:v>
                </c:pt>
                <c:pt idx="3">
                  <c:v>(vazio)</c:v>
                </c:pt>
              </c:strCache>
            </c:strRef>
          </c:cat>
          <c:val>
            <c:numRef>
              <c:f>'Tabelas Dinâmicas'!$I$3:$I$7</c:f>
              <c:numCache>
                <c:formatCode>_("R$"* #,##0.00_);_("R$"* \(#,##0.00\);_("R$"* "-"??_);_(@_)</c:formatCode>
                <c:ptCount val="4"/>
                <c:pt idx="0">
                  <c:v>6635</c:v>
                </c:pt>
                <c:pt idx="1">
                  <c:v>22370</c:v>
                </c:pt>
                <c:pt idx="2">
                  <c:v>55704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31-4D76-BEB4-558F8C350F9F}"/>
            </c:ext>
          </c:extLst>
        </c:ser>
        <c:ser>
          <c:idx val="1"/>
          <c:order val="1"/>
          <c:tx>
            <c:strRef>
              <c:f>'Tabelas Dinâmicas'!$J$1:$J$2</c:f>
              <c:strCache>
                <c:ptCount val="1"/>
                <c:pt idx="0">
                  <c:v>Sul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Dinâmicas'!$H$3:$H$7</c:f>
              <c:strCache>
                <c:ptCount val="4"/>
                <c:pt idx="0">
                  <c:v>Tijolos de Cinzas</c:v>
                </c:pt>
                <c:pt idx="1">
                  <c:v>Tijolos de Pet</c:v>
                </c:pt>
                <c:pt idx="2">
                  <c:v>Tijolos de Pneus</c:v>
                </c:pt>
                <c:pt idx="3">
                  <c:v>(vazio)</c:v>
                </c:pt>
              </c:strCache>
            </c:strRef>
          </c:cat>
          <c:val>
            <c:numRef>
              <c:f>'Tabelas Dinâmicas'!$J$3:$J$7</c:f>
              <c:numCache>
                <c:formatCode>_("R$"* #,##0.00_);_("R$"* \(#,##0.00\);_("R$"* "-"??_);_(@_)</c:formatCode>
                <c:ptCount val="4"/>
                <c:pt idx="0">
                  <c:v>1935.5</c:v>
                </c:pt>
                <c:pt idx="1">
                  <c:v>2646</c:v>
                </c:pt>
                <c:pt idx="2">
                  <c:v>7107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31-4D76-BEB4-558F8C350F9F}"/>
            </c:ext>
          </c:extLst>
        </c:ser>
        <c:ser>
          <c:idx val="2"/>
          <c:order val="2"/>
          <c:tx>
            <c:strRef>
              <c:f>'Tabelas Dinâmicas'!$K$1:$K$2</c:f>
              <c:strCache>
                <c:ptCount val="1"/>
                <c:pt idx="0">
                  <c:v>(vazio)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Dinâmicas'!$H$3:$H$7</c:f>
              <c:strCache>
                <c:ptCount val="4"/>
                <c:pt idx="0">
                  <c:v>Tijolos de Cinzas</c:v>
                </c:pt>
                <c:pt idx="1">
                  <c:v>Tijolos de Pet</c:v>
                </c:pt>
                <c:pt idx="2">
                  <c:v>Tijolos de Pneus</c:v>
                </c:pt>
                <c:pt idx="3">
                  <c:v>(vazio)</c:v>
                </c:pt>
              </c:strCache>
            </c:strRef>
          </c:cat>
          <c:val>
            <c:numRef>
              <c:f>'Tabelas Dinâmicas'!$K$3:$K$7</c:f>
              <c:numCache>
                <c:formatCode>_("R$"* #,##0.00_);_("R$"* \(#,##0.00\);_("R$"* "-"??_);_(@_)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5-4231-4D76-BEB4-558F8C350F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978499759"/>
        <c:axId val="1978500591"/>
      </c:barChart>
      <c:catAx>
        <c:axId val="197849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500591"/>
        <c:crosses val="autoZero"/>
        <c:auto val="1"/>
        <c:lblAlgn val="ctr"/>
        <c:lblOffset val="100"/>
        <c:noMultiLvlLbl val="0"/>
      </c:catAx>
      <c:valAx>
        <c:axId val="19785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49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de Tijolos - Resolvido.xlsm]Tabelas Dinâmicas!Tabela dinâmica1</c:name>
    <c:fmtId val="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13299830941004"/>
          <c:y val="0.171740342369088"/>
          <c:w val="0.72086854826985824"/>
          <c:h val="0.720003125731536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Dinâmicas'!$B$1:$B$2</c:f>
              <c:strCache>
                <c:ptCount val="1"/>
                <c:pt idx="0">
                  <c:v>Sudeste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Dinâmicas'!$A$3:$A$9</c:f>
              <c:strCache>
                <c:ptCount val="7"/>
                <c:pt idx="0">
                  <c:v>Curitiba</c:v>
                </c:pt>
                <c:pt idx="1">
                  <c:v>Florianopolis</c:v>
                </c:pt>
                <c:pt idx="2">
                  <c:v>RJ</c:v>
                </c:pt>
                <c:pt idx="3">
                  <c:v>São Gonçalo</c:v>
                </c:pt>
                <c:pt idx="4">
                  <c:v>SJC</c:v>
                </c:pt>
                <c:pt idx="5">
                  <c:v>SP</c:v>
                </c:pt>
                <c:pt idx="6">
                  <c:v>(vazio)</c:v>
                </c:pt>
              </c:strCache>
            </c:strRef>
          </c:cat>
          <c:val>
            <c:numRef>
              <c:f>'Tabelas Dinâmicas'!$B$3:$B$9</c:f>
              <c:numCache>
                <c:formatCode>_("R$"* #,##0.00_);_("R$"* \(#,##0.00\);_("R$"* "-"??_);_(@_)</c:formatCode>
                <c:ptCount val="7"/>
                <c:pt idx="2">
                  <c:v>17420</c:v>
                </c:pt>
                <c:pt idx="3">
                  <c:v>10109</c:v>
                </c:pt>
                <c:pt idx="4">
                  <c:v>22200</c:v>
                </c:pt>
                <c:pt idx="5">
                  <c:v>34980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0-4E9A-BF57-F33EF8E4CDF7}"/>
            </c:ext>
          </c:extLst>
        </c:ser>
        <c:ser>
          <c:idx val="1"/>
          <c:order val="1"/>
          <c:tx>
            <c:strRef>
              <c:f>'Tabelas Dinâmicas'!$C$1:$C$2</c:f>
              <c:strCache>
                <c:ptCount val="1"/>
                <c:pt idx="0">
                  <c:v>Sul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Dinâmicas'!$A$3:$A$9</c:f>
              <c:strCache>
                <c:ptCount val="7"/>
                <c:pt idx="0">
                  <c:v>Curitiba</c:v>
                </c:pt>
                <c:pt idx="1">
                  <c:v>Florianopolis</c:v>
                </c:pt>
                <c:pt idx="2">
                  <c:v>RJ</c:v>
                </c:pt>
                <c:pt idx="3">
                  <c:v>São Gonçalo</c:v>
                </c:pt>
                <c:pt idx="4">
                  <c:v>SJC</c:v>
                </c:pt>
                <c:pt idx="5">
                  <c:v>SP</c:v>
                </c:pt>
                <c:pt idx="6">
                  <c:v>(vazio)</c:v>
                </c:pt>
              </c:strCache>
            </c:strRef>
          </c:cat>
          <c:val>
            <c:numRef>
              <c:f>'Tabelas Dinâmicas'!$C$3:$C$9</c:f>
              <c:numCache>
                <c:formatCode>_("R$"* #,##0.00_);_("R$"* \(#,##0.00\);_("R$"* "-"??_);_(@_)</c:formatCode>
                <c:ptCount val="7"/>
                <c:pt idx="0">
                  <c:v>6280.5</c:v>
                </c:pt>
                <c:pt idx="1">
                  <c:v>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BB0-4E9A-BF57-F33EF8E4CDF7}"/>
            </c:ext>
          </c:extLst>
        </c:ser>
        <c:ser>
          <c:idx val="2"/>
          <c:order val="2"/>
          <c:tx>
            <c:strRef>
              <c:f>'Tabelas Dinâmicas'!$D$1:$D$2</c:f>
              <c:strCache>
                <c:ptCount val="1"/>
                <c:pt idx="0">
                  <c:v>(vazio)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Dinâmicas'!$A$3:$A$9</c:f>
              <c:strCache>
                <c:ptCount val="7"/>
                <c:pt idx="0">
                  <c:v>Curitiba</c:v>
                </c:pt>
                <c:pt idx="1">
                  <c:v>Florianopolis</c:v>
                </c:pt>
                <c:pt idx="2">
                  <c:v>RJ</c:v>
                </c:pt>
                <c:pt idx="3">
                  <c:v>São Gonçalo</c:v>
                </c:pt>
                <c:pt idx="4">
                  <c:v>SJC</c:v>
                </c:pt>
                <c:pt idx="5">
                  <c:v>SP</c:v>
                </c:pt>
                <c:pt idx="6">
                  <c:v>(vazio)</c:v>
                </c:pt>
              </c:strCache>
            </c:strRef>
          </c:cat>
          <c:val>
            <c:numRef>
              <c:f>'Tabelas Dinâmicas'!$D$3:$D$9</c:f>
              <c:numCache>
                <c:formatCode>_("R$"* #,##0.00_);_("R$"* \(#,##0.00\);_("R$"*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12-1BB0-4E9A-BF57-F33EF8E4CD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81374543"/>
        <c:axId val="1981358735"/>
      </c:barChart>
      <c:catAx>
        <c:axId val="198137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358735"/>
        <c:crosses val="autoZero"/>
        <c:auto val="1"/>
        <c:lblAlgn val="ctr"/>
        <c:lblOffset val="100"/>
        <c:noMultiLvlLbl val="0"/>
      </c:catAx>
      <c:valAx>
        <c:axId val="198135873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98137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jfif"/><Relationship Id="rId4" Type="http://schemas.openxmlformats.org/officeDocument/2006/relationships/hyperlink" Target="https://www.haostreinamentos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3</xdr:row>
      <xdr:rowOff>9525</xdr:rowOff>
    </xdr:from>
    <xdr:to>
      <xdr:col>11</xdr:col>
      <xdr:colOff>466725</xdr:colOff>
      <xdr:row>8</xdr:row>
      <xdr:rowOff>114300</xdr:rowOff>
    </xdr:to>
    <xdr:sp macro="[0]!Apagar_Dados" textlink="">
      <xdr:nvSpPr>
        <xdr:cNvPr id="2" name="Elipse 1">
          <a:extLst>
            <a:ext uri="{FF2B5EF4-FFF2-40B4-BE49-F238E27FC236}">
              <a16:creationId xmlns:a16="http://schemas.microsoft.com/office/drawing/2014/main" id="{C1310487-5020-3FF1-1C66-0518B8136704}"/>
            </a:ext>
          </a:extLst>
        </xdr:cNvPr>
        <xdr:cNvSpPr/>
      </xdr:nvSpPr>
      <xdr:spPr>
        <a:xfrm>
          <a:off x="7400925" y="514350"/>
          <a:ext cx="2124075" cy="10572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13447</xdr:colOff>
      <xdr:row>4</xdr:row>
      <xdr:rowOff>236341</xdr:rowOff>
    </xdr:from>
    <xdr:to>
      <xdr:col>19</xdr:col>
      <xdr:colOff>582706</xdr:colOff>
      <xdr:row>20</xdr:row>
      <xdr:rowOff>520563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E766FF-9B59-4E64-8103-BFCEFC68C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</xdr:row>
      <xdr:rowOff>244289</xdr:rowOff>
    </xdr:from>
    <xdr:to>
      <xdr:col>10</xdr:col>
      <xdr:colOff>11206</xdr:colOff>
      <xdr:row>21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C2E1C1-AA2D-4F1F-9B7B-BDBBC737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549087</xdr:colOff>
      <xdr:row>3</xdr:row>
      <xdr:rowOff>11208</xdr:rowOff>
    </xdr:from>
    <xdr:to>
      <xdr:col>8</xdr:col>
      <xdr:colOff>437030</xdr:colOff>
      <xdr:row>4</xdr:row>
      <xdr:rowOff>11207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Filial">
              <a:extLst>
                <a:ext uri="{FF2B5EF4-FFF2-40B4-BE49-F238E27FC236}">
                  <a16:creationId xmlns:a16="http://schemas.microsoft.com/office/drawing/2014/main" id="{9D805218-17B6-49B4-ACBB-FF35C81586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1360" y="634663"/>
              <a:ext cx="3524761" cy="10564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3</xdr:row>
      <xdr:rowOff>11207</xdr:rowOff>
    </xdr:from>
    <xdr:to>
      <xdr:col>2</xdr:col>
      <xdr:colOff>549090</xdr:colOff>
      <xdr:row>4</xdr:row>
      <xdr:rowOff>11206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Região">
              <a:extLst>
                <a:ext uri="{FF2B5EF4-FFF2-40B4-BE49-F238E27FC236}">
                  <a16:creationId xmlns:a16="http://schemas.microsoft.com/office/drawing/2014/main" id="{F50F5B46-D267-4A71-A366-EDE71E2E06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634662"/>
              <a:ext cx="1761362" cy="10564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425822</xdr:colOff>
      <xdr:row>3</xdr:row>
      <xdr:rowOff>16143</xdr:rowOff>
    </xdr:from>
    <xdr:to>
      <xdr:col>13</xdr:col>
      <xdr:colOff>224117</xdr:colOff>
      <xdr:row>4</xdr:row>
      <xdr:rowOff>17268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Produtos">
              <a:extLst>
                <a:ext uri="{FF2B5EF4-FFF2-40B4-BE49-F238E27FC236}">
                  <a16:creationId xmlns:a16="http://schemas.microsoft.com/office/drawing/2014/main" id="{E79D3FB7-4645-4013-BE3D-95BD627A63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74913" y="639598"/>
              <a:ext cx="2828977" cy="10575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6</xdr:col>
      <xdr:colOff>156883</xdr:colOff>
      <xdr:row>0</xdr:row>
      <xdr:rowOff>0</xdr:rowOff>
    </xdr:from>
    <xdr:ext cx="4392706" cy="582706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DF3A30D-D7AB-50F0-7055-BB7893ECC5E6}"/>
            </a:ext>
          </a:extLst>
        </xdr:cNvPr>
        <xdr:cNvSpPr txBox="1"/>
      </xdr:nvSpPr>
      <xdr:spPr>
        <a:xfrm>
          <a:off x="3787589" y="0"/>
          <a:ext cx="4392706" cy="5827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3500">
              <a:latin typeface="Baguet Script" panose="00000500000000000000" pitchFamily="2" charset="0"/>
            </a:rPr>
            <a:t>Faturamento - Tijolos</a:t>
          </a:r>
        </a:p>
      </xdr:txBody>
    </xdr:sp>
    <xdr:clientData/>
  </xdr:oneCellAnchor>
  <xdr:twoCellAnchor>
    <xdr:from>
      <xdr:col>0</xdr:col>
      <xdr:colOff>0</xdr:colOff>
      <xdr:row>22</xdr:row>
      <xdr:rowOff>11205</xdr:rowOff>
    </xdr:from>
    <xdr:to>
      <xdr:col>20</xdr:col>
      <xdr:colOff>0</xdr:colOff>
      <xdr:row>37</xdr:row>
      <xdr:rowOff>109813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8421721-B486-4097-A313-0D556A96E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6722</xdr:colOff>
      <xdr:row>0</xdr:row>
      <xdr:rowOff>0</xdr:rowOff>
    </xdr:from>
    <xdr:to>
      <xdr:col>20</xdr:col>
      <xdr:colOff>6722</xdr:colOff>
      <xdr:row>3</xdr:row>
      <xdr:rowOff>497133</xdr:rowOff>
    </xdr:to>
    <xdr:pic>
      <xdr:nvPicPr>
        <xdr:cNvPr id="15" name="Imagem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6EBEAD-72F5-30D2-11CC-D1950E47B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8840" y="0"/>
          <a:ext cx="1210235" cy="1120588"/>
        </a:xfrm>
        <a:prstGeom prst="rect">
          <a:avLst/>
        </a:prstGeom>
      </xdr:spPr>
    </xdr:pic>
    <xdr:clientData/>
  </xdr:twoCellAnchor>
  <xdr:twoCellAnchor>
    <xdr:from>
      <xdr:col>14</xdr:col>
      <xdr:colOff>155864</xdr:colOff>
      <xdr:row>1</xdr:row>
      <xdr:rowOff>17318</xdr:rowOff>
    </xdr:from>
    <xdr:to>
      <xdr:col>17</xdr:col>
      <xdr:colOff>207818</xdr:colOff>
      <xdr:row>3</xdr:row>
      <xdr:rowOff>34636</xdr:rowOff>
    </xdr:to>
    <xdr:sp macro="[0]!Atualizar_v2" textlink="">
      <xdr:nvSpPr>
        <xdr:cNvPr id="17" name="Retângulo 16">
          <a:extLst>
            <a:ext uri="{FF2B5EF4-FFF2-40B4-BE49-F238E27FC236}">
              <a16:creationId xmlns:a16="http://schemas.microsoft.com/office/drawing/2014/main" id="{6605E3EA-F6C1-C371-C0F2-9280026F93AA}"/>
            </a:ext>
          </a:extLst>
        </xdr:cNvPr>
        <xdr:cNvSpPr/>
      </xdr:nvSpPr>
      <xdr:spPr>
        <a:xfrm>
          <a:off x="8641773" y="207818"/>
          <a:ext cx="1870363" cy="4502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824.885697569443" createdVersion="8" refreshedVersion="8" minRefreshableVersion="3" recordCount="106" xr:uid="{3DB7E0DE-DCA2-44F4-B1BC-04CE43C9B97B}">
  <cacheSource type="worksheet">
    <worksheetSource name="Dados"/>
  </cacheSource>
  <cacheFields count="6">
    <cacheField name="Filial" numFmtId="0">
      <sharedItems containsBlank="1" count="7">
        <s v="SJC"/>
        <s v="SP"/>
        <s v="RJ"/>
        <s v="Curitiba"/>
        <s v="Florianopolis"/>
        <s v="São Gonçalo"/>
        <m/>
      </sharedItems>
    </cacheField>
    <cacheField name="Região" numFmtId="0">
      <sharedItems containsBlank="1" count="5">
        <s v="Sudeste"/>
        <s v="Sul"/>
        <m/>
        <s v="Norte" u="1"/>
        <s v="Nordeste" u="1"/>
      </sharedItems>
    </cacheField>
    <cacheField name="Produtos" numFmtId="0">
      <sharedItems containsBlank="1" count="4">
        <s v="Tijolos de Pet"/>
        <s v="Tijolos de Cinzas"/>
        <s v="Tijolos de Pneus"/>
        <m/>
      </sharedItems>
    </cacheField>
    <cacheField name="Quantidade" numFmtId="0">
      <sharedItems containsString="0" containsBlank="1" containsNumber="1" containsInteger="1" minValue="340" maxValue="7000"/>
    </cacheField>
    <cacheField name="Preço" numFmtId="0">
      <sharedItems containsString="0" containsBlank="1" containsNumber="1" minValue="2.1" maxValue="3.9"/>
    </cacheField>
    <cacheField name="Total de Vendas" numFmtId="164">
      <sharedItems containsString="0" containsBlank="1" containsNumber="1" minValue="833.00000000000011" maxValue="21700"/>
    </cacheField>
  </cacheFields>
  <extLst>
    <ext xmlns:x14="http://schemas.microsoft.com/office/spreadsheetml/2009/9/main" uri="{725AE2AE-9491-48be-B2B4-4EB974FC3084}">
      <x14:pivotCacheDefinition pivotCacheId="8583007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">
  <r>
    <x v="0"/>
    <x v="0"/>
    <x v="0"/>
    <n v="2000"/>
    <n v="2.8"/>
    <n v="5600"/>
  </r>
  <r>
    <x v="0"/>
    <x v="0"/>
    <x v="1"/>
    <n v="500"/>
    <n v="2.2000000000000002"/>
    <n v="1100"/>
  </r>
  <r>
    <x v="0"/>
    <x v="0"/>
    <x v="2"/>
    <n v="5000"/>
    <n v="3.1"/>
    <n v="15500"/>
  </r>
  <r>
    <x v="1"/>
    <x v="0"/>
    <x v="0"/>
    <n v="3800"/>
    <n v="2.8"/>
    <n v="10640"/>
  </r>
  <r>
    <x v="1"/>
    <x v="0"/>
    <x v="1"/>
    <n v="1200"/>
    <n v="2.2000000000000002"/>
    <n v="2640"/>
  </r>
  <r>
    <x v="1"/>
    <x v="0"/>
    <x v="2"/>
    <n v="7000"/>
    <n v="3.1"/>
    <n v="21700"/>
  </r>
  <r>
    <x v="2"/>
    <x v="0"/>
    <x v="0"/>
    <n v="1300"/>
    <n v="2.9"/>
    <n v="3770"/>
  </r>
  <r>
    <x v="2"/>
    <x v="0"/>
    <x v="1"/>
    <n v="780"/>
    <n v="2.5"/>
    <n v="1950"/>
  </r>
  <r>
    <x v="2"/>
    <x v="0"/>
    <x v="2"/>
    <n v="3000"/>
    <n v="3.9"/>
    <n v="11700"/>
  </r>
  <r>
    <x v="3"/>
    <x v="1"/>
    <x v="0"/>
    <n v="700"/>
    <n v="2.1"/>
    <n v="1470"/>
  </r>
  <r>
    <x v="3"/>
    <x v="1"/>
    <x v="1"/>
    <n v="450"/>
    <n v="2.4500000000000002"/>
    <n v="1102.5"/>
  </r>
  <r>
    <x v="3"/>
    <x v="1"/>
    <x v="2"/>
    <n v="1200"/>
    <n v="3.09"/>
    <n v="3708"/>
  </r>
  <r>
    <x v="4"/>
    <x v="1"/>
    <x v="0"/>
    <n v="560"/>
    <n v="2.1"/>
    <n v="1176"/>
  </r>
  <r>
    <x v="4"/>
    <x v="1"/>
    <x v="1"/>
    <n v="340"/>
    <n v="2.4500000000000002"/>
    <n v="833.00000000000011"/>
  </r>
  <r>
    <x v="4"/>
    <x v="1"/>
    <x v="2"/>
    <n v="1100"/>
    <n v="3.09"/>
    <n v="3399"/>
  </r>
  <r>
    <x v="5"/>
    <x v="0"/>
    <x v="0"/>
    <n v="800"/>
    <n v="2.95"/>
    <n v="2360"/>
  </r>
  <r>
    <x v="5"/>
    <x v="0"/>
    <x v="1"/>
    <n v="350"/>
    <n v="2.7"/>
    <n v="945.00000000000011"/>
  </r>
  <r>
    <x v="5"/>
    <x v="0"/>
    <x v="2"/>
    <n v="1800"/>
    <n v="3.78"/>
    <n v="6804"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  <r>
    <x v="6"/>
    <x v="2"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1C008F-D59C-4B9C-8050-432D8F684951}" name="Tabela dinâmica1" cacheId="20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A1:D9" firstHeaderRow="1" firstDataRow="2" firstDataCol="1"/>
  <pivotFields count="6">
    <pivotField axis="axisRow" showAll="0">
      <items count="8">
        <item x="3"/>
        <item x="4"/>
        <item x="2"/>
        <item x="5"/>
        <item x="0"/>
        <item x="1"/>
        <item x="6"/>
        <item t="default"/>
      </items>
    </pivotField>
    <pivotField axis="axisCol" showAll="0">
      <items count="6">
        <item x="0"/>
        <item x="1"/>
        <item m="1" x="3"/>
        <item m="1" x="4"/>
        <item x="2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showAll="0"/>
    <pivotField showAll="0"/>
    <pivotField dataField="1" numFmtId="164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"/>
  </colFields>
  <colItems count="3">
    <i>
      <x/>
    </i>
    <i>
      <x v="1"/>
    </i>
    <i>
      <x v="4"/>
    </i>
  </colItems>
  <dataFields count="1">
    <dataField name="Soma de Total de Vendas" fld="5" baseField="0" baseItem="1" numFmtId="44"/>
  </dataFields>
  <formats count="1">
    <format dxfId="2">
      <pivotArea outline="0" collapsedLevelsAreSubtotals="1" fieldPosition="0"/>
    </format>
  </formats>
  <chartFormats count="6">
    <chartFormat chart="9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BDBAF-184F-44F1-9A8F-8C21F0C10CE5}" name="Tabela dinâmica3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H1:L7" firstHeaderRow="1" firstDataRow="2" firstDataCol="1"/>
  <pivotFields count="6">
    <pivotField showAll="0">
      <items count="8">
        <item x="3"/>
        <item x="4"/>
        <item x="2"/>
        <item x="5"/>
        <item x="0"/>
        <item x="1"/>
        <item x="6"/>
        <item t="default"/>
      </items>
    </pivotField>
    <pivotField axis="axisCol" showAll="0">
      <items count="6">
        <item x="0"/>
        <item x="1"/>
        <item m="1" x="3"/>
        <item m="1" x="4"/>
        <item x="2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dataField="1" numFmtId="164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4"/>
    </i>
    <i t="grand">
      <x/>
    </i>
  </colItems>
  <dataFields count="1">
    <dataField name="Soma de Total de Vendas" fld="5" baseField="0" baseItem="0" numFmtId="44"/>
  </dataFields>
  <formats count="2">
    <format dxfId="0">
      <pivotArea collapsedLevelsAreSubtotals="1" fieldPosition="0">
        <references count="1">
          <reference field="2" count="0"/>
        </references>
      </pivotArea>
    </format>
    <format dxfId="1">
      <pivotArea outline="0" collapsedLevelsAreSubtotals="1" fieldPosition="0"/>
    </format>
  </formats>
  <chartFormats count="5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15704-9BF8-44FE-A565-41EB972B1C1C}" name="Tabela dinâmica2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E1:F5" firstHeaderRow="1" firstDataRow="1" firstDataCol="1"/>
  <pivotFields count="6">
    <pivotField showAll="0">
      <items count="8">
        <item x="3"/>
        <item x="4"/>
        <item x="2"/>
        <item x="5"/>
        <item x="0"/>
        <item x="1"/>
        <item x="6"/>
        <item t="default"/>
      </items>
    </pivotField>
    <pivotField axis="axisRow" showAll="0">
      <items count="6">
        <item x="0"/>
        <item x="1"/>
        <item m="1" x="3"/>
        <item m="1" x="4"/>
        <item x="2"/>
        <item t="default"/>
      </items>
    </pivotField>
    <pivotField dataField="1" showAll="0">
      <items count="5">
        <item x="1"/>
        <item x="0"/>
        <item x="2"/>
        <item x="3"/>
        <item t="default"/>
      </items>
    </pivotField>
    <pivotField showAll="0"/>
    <pivotField showAll="0"/>
    <pivotField numFmtId="164" showAll="0"/>
  </pivotFields>
  <rowFields count="1">
    <field x="1"/>
  </rowFields>
  <rowItems count="4">
    <i>
      <x/>
    </i>
    <i>
      <x v="1"/>
    </i>
    <i>
      <x v="4"/>
    </i>
    <i t="grand">
      <x/>
    </i>
  </rowItems>
  <colItems count="1">
    <i/>
  </colItems>
  <dataFields count="1">
    <dataField name="Contagem de Produtos" fld="2" subtotal="count" baseField="1" baseItem="0"/>
  </dataField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ial" xr10:uid="{D4688E0B-5C00-4D1F-BA7B-FF0A4C7EF926}" sourceName="Filial">
  <pivotTables>
    <pivotTable tabId="6" name="Tabela dinâmica1"/>
    <pivotTable tabId="6" name="Tabela dinâmica2"/>
    <pivotTable tabId="6" name="Tabela dinâmica3"/>
  </pivotTables>
  <data>
    <tabular pivotCacheId="858300720">
      <items count="7">
        <i x="3" s="1"/>
        <i x="4" s="1"/>
        <i x="2" s="1"/>
        <i x="5" s="1"/>
        <i x="0" s="1"/>
        <i x="1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93B18940-B1D5-45F0-AD42-46BA26DF0C44}" sourceName="Região">
  <pivotTables>
    <pivotTable tabId="6" name="Tabela dinâmica1"/>
    <pivotTable tabId="6" name="Tabela dinâmica2"/>
    <pivotTable tabId="6" name="Tabela dinâmica3"/>
  </pivotTables>
  <data>
    <tabular pivotCacheId="858300720">
      <items count="5">
        <i x="0" s="1"/>
        <i x="1" s="1"/>
        <i x="4" s="1" nd="1"/>
        <i x="3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s" xr10:uid="{80384BDA-467B-4046-B477-ACE0981F68B0}" sourceName="Produtos">
  <pivotTables>
    <pivotTable tabId="6" name="Tabela dinâmica1"/>
    <pivotTable tabId="6" name="Tabela dinâmica2"/>
    <pivotTable tabId="6" name="Tabela dinâmica3"/>
  </pivotTables>
  <data>
    <tabular pivotCacheId="858300720">
      <items count="4">
        <i x="1" s="1"/>
        <i x="0" s="1"/>
        <i x="2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ial" xr10:uid="{B25C06DE-C6DF-488D-A8E2-B2523B087602}" cache="SegmentaçãodeDados_Filial" caption="Filial" columnCount="3" style="SlicerStyleDark6" rowHeight="241300"/>
  <slicer name="Região" xr10:uid="{E38C5E03-F802-4DFF-96CC-E954546371F3}" cache="SegmentaçãodeDados_Região" caption="Região" style="SlicerStyleDark6" rowHeight="241300"/>
  <slicer name="Produtos" xr10:uid="{B125D023-7768-4065-840D-F490CE934277}" cache="SegmentaçãodeDados_Produtos" caption="Produtos" columnCount="2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D2599-B397-4782-A5AF-FB0C047A2699}" name="Dados" displayName="Dados" ref="B2:G108" totalsRowShown="0">
  <autoFilter ref="B2:G108" xr:uid="{2ACD2599-B397-4782-A5AF-FB0C047A2699}"/>
  <tableColumns count="6">
    <tableColumn id="1" xr3:uid="{7EEE4926-900E-4851-B853-2F974D375800}" name="Filial"/>
    <tableColumn id="2" xr3:uid="{680F6CD1-3EF8-4609-AFD9-38C77323835B}" name="Região"/>
    <tableColumn id="3" xr3:uid="{37D3A513-2E6C-4D0C-AF1F-8BA6E1D4A1E0}" name="Produtos"/>
    <tableColumn id="4" xr3:uid="{5FA781B5-5001-4158-A7D0-9ECA7964968E}" name="Quantidade"/>
    <tableColumn id="5" xr3:uid="{DDE4DE36-CE7B-44A5-BCB8-B6FF7A0F2CE9}" name="Preço"/>
    <tableColumn id="6" xr3:uid="{FD7516C3-F9A2-4FD8-A332-20FB8B97B4FF}" name="Total de Venda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1F835-C750-479F-9D9B-ACF186D6E2F6}">
  <sheetPr codeName="Planilha1"/>
  <dimension ref="A1:L9"/>
  <sheetViews>
    <sheetView workbookViewId="0">
      <selection activeCell="B6" sqref="B6"/>
    </sheetView>
  </sheetViews>
  <sheetFormatPr defaultRowHeight="15" x14ac:dyDescent="0.25"/>
  <cols>
    <col min="1" max="1" width="23.5703125" bestFit="1" customWidth="1"/>
    <col min="2" max="2" width="19.5703125" bestFit="1" customWidth="1"/>
    <col min="3" max="3" width="12.140625" bestFit="1" customWidth="1"/>
    <col min="4" max="4" width="7" bestFit="1" customWidth="1"/>
    <col min="5" max="5" width="18" bestFit="1" customWidth="1"/>
    <col min="6" max="6" width="21.5703125" bestFit="1" customWidth="1"/>
    <col min="7" max="7" width="4.140625" customWidth="1"/>
    <col min="8" max="8" width="23.5703125" bestFit="1" customWidth="1"/>
    <col min="9" max="9" width="19.5703125" bestFit="1" customWidth="1"/>
    <col min="10" max="10" width="13.28515625" bestFit="1" customWidth="1"/>
    <col min="11" max="11" width="7" bestFit="1" customWidth="1"/>
    <col min="12" max="12" width="13.28515625" bestFit="1" customWidth="1"/>
    <col min="13" max="13" width="10.7109375" bestFit="1" customWidth="1"/>
  </cols>
  <sheetData>
    <row r="1" spans="1:12" x14ac:dyDescent="0.25">
      <c r="A1" s="2" t="s">
        <v>17</v>
      </c>
      <c r="B1" s="2" t="s">
        <v>18</v>
      </c>
      <c r="E1" s="2" t="s">
        <v>19</v>
      </c>
      <c r="F1" t="s">
        <v>21</v>
      </c>
      <c r="H1" s="2" t="s">
        <v>17</v>
      </c>
      <c r="I1" s="2" t="s">
        <v>18</v>
      </c>
    </row>
    <row r="2" spans="1:12" x14ac:dyDescent="0.25">
      <c r="A2" s="2" t="s">
        <v>19</v>
      </c>
      <c r="B2" t="s">
        <v>7</v>
      </c>
      <c r="C2" t="s">
        <v>14</v>
      </c>
      <c r="D2" t="s">
        <v>25</v>
      </c>
      <c r="E2" s="3" t="s">
        <v>7</v>
      </c>
      <c r="F2" s="4">
        <v>12</v>
      </c>
      <c r="H2" s="2" t="s">
        <v>19</v>
      </c>
      <c r="I2" t="s">
        <v>7</v>
      </c>
      <c r="J2" t="s">
        <v>14</v>
      </c>
      <c r="K2" t="s">
        <v>25</v>
      </c>
      <c r="L2" t="s">
        <v>20</v>
      </c>
    </row>
    <row r="3" spans="1:12" x14ac:dyDescent="0.25">
      <c r="A3" s="3" t="s">
        <v>13</v>
      </c>
      <c r="B3" s="5"/>
      <c r="C3" s="5">
        <v>6280.5</v>
      </c>
      <c r="D3" s="5"/>
      <c r="E3" s="3" t="s">
        <v>14</v>
      </c>
      <c r="F3" s="4">
        <v>6</v>
      </c>
      <c r="H3" s="3" t="s">
        <v>9</v>
      </c>
      <c r="I3" s="5">
        <v>6635</v>
      </c>
      <c r="J3" s="5">
        <v>1935.5</v>
      </c>
      <c r="K3" s="5"/>
      <c r="L3" s="5">
        <v>8570.5</v>
      </c>
    </row>
    <row r="4" spans="1:12" x14ac:dyDescent="0.25">
      <c r="A4" s="3" t="s">
        <v>15</v>
      </c>
      <c r="B4" s="5"/>
      <c r="C4" s="5">
        <v>5408</v>
      </c>
      <c r="D4" s="5"/>
      <c r="E4" s="3" t="s">
        <v>25</v>
      </c>
      <c r="F4" s="4"/>
      <c r="H4" s="3" t="s">
        <v>8</v>
      </c>
      <c r="I4" s="5">
        <v>22370</v>
      </c>
      <c r="J4" s="5">
        <v>2646</v>
      </c>
      <c r="K4" s="5"/>
      <c r="L4" s="5">
        <v>25016</v>
      </c>
    </row>
    <row r="5" spans="1:12" x14ac:dyDescent="0.25">
      <c r="A5" s="3" t="s">
        <v>12</v>
      </c>
      <c r="B5" s="5">
        <v>17420</v>
      </c>
      <c r="C5" s="5"/>
      <c r="D5" s="5"/>
      <c r="E5" s="3" t="s">
        <v>20</v>
      </c>
      <c r="F5" s="4">
        <v>18</v>
      </c>
      <c r="H5" s="3" t="s">
        <v>10</v>
      </c>
      <c r="I5" s="5">
        <v>55704</v>
      </c>
      <c r="J5" s="5">
        <v>7107</v>
      </c>
      <c r="K5" s="5"/>
      <c r="L5" s="5">
        <v>62811</v>
      </c>
    </row>
    <row r="6" spans="1:12" x14ac:dyDescent="0.25">
      <c r="A6" s="3" t="s">
        <v>16</v>
      </c>
      <c r="B6" s="5">
        <v>10109</v>
      </c>
      <c r="C6" s="5"/>
      <c r="D6" s="5"/>
      <c r="H6" s="3" t="s">
        <v>25</v>
      </c>
      <c r="I6" s="5"/>
      <c r="J6" s="5"/>
      <c r="K6" s="5"/>
      <c r="L6" s="5"/>
    </row>
    <row r="7" spans="1:12" x14ac:dyDescent="0.25">
      <c r="A7" s="3" t="s">
        <v>6</v>
      </c>
      <c r="B7" s="5">
        <v>22200</v>
      </c>
      <c r="C7" s="5"/>
      <c r="D7" s="5"/>
      <c r="H7" s="3" t="s">
        <v>20</v>
      </c>
      <c r="I7" s="5">
        <v>84709</v>
      </c>
      <c r="J7" s="5">
        <v>11688.5</v>
      </c>
      <c r="K7" s="5"/>
      <c r="L7" s="5">
        <v>96397.5</v>
      </c>
    </row>
    <row r="8" spans="1:12" x14ac:dyDescent="0.25">
      <c r="A8" s="3" t="s">
        <v>11</v>
      </c>
      <c r="B8" s="5">
        <v>34980</v>
      </c>
      <c r="C8" s="5"/>
      <c r="D8" s="5"/>
    </row>
    <row r="9" spans="1:12" ht="17.25" customHeight="1" x14ac:dyDescent="0.25">
      <c r="A9" s="3" t="s">
        <v>25</v>
      </c>
      <c r="B9" s="5"/>
      <c r="C9" s="5"/>
      <c r="D9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G108"/>
  <sheetViews>
    <sheetView showGridLines="0" workbookViewId="0">
      <selection activeCell="K13" sqref="K13"/>
    </sheetView>
  </sheetViews>
  <sheetFormatPr defaultRowHeight="15" x14ac:dyDescent="0.25"/>
  <cols>
    <col min="1" max="1" width="2.28515625" customWidth="1"/>
    <col min="2" max="2" width="19.7109375" customWidth="1"/>
    <col min="3" max="3" width="19.5703125" customWidth="1"/>
    <col min="4" max="4" width="15.7109375" bestFit="1" customWidth="1"/>
    <col min="5" max="5" width="15.5703125" customWidth="1"/>
    <col min="6" max="6" width="10.7109375" customWidth="1"/>
    <col min="7" max="7" width="17.28515625" customWidth="1"/>
    <col min="8" max="8" width="6" customWidth="1"/>
    <col min="9" max="9" width="10.7109375" bestFit="1" customWidth="1"/>
  </cols>
  <sheetData>
    <row r="1" spans="2:7" ht="9.75" customHeight="1" x14ac:dyDescent="0.25"/>
    <row r="2" spans="2:7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</row>
    <row r="3" spans="2:7" x14ac:dyDescent="0.25">
      <c r="B3" t="s">
        <v>6</v>
      </c>
      <c r="C3" t="s">
        <v>7</v>
      </c>
      <c r="D3" t="s">
        <v>8</v>
      </c>
      <c r="E3">
        <v>2000</v>
      </c>
      <c r="F3">
        <v>2.8</v>
      </c>
      <c r="G3" s="1">
        <v>5600</v>
      </c>
    </row>
    <row r="4" spans="2:7" x14ac:dyDescent="0.25">
      <c r="B4" t="s">
        <v>6</v>
      </c>
      <c r="C4" t="s">
        <v>7</v>
      </c>
      <c r="D4" t="s">
        <v>9</v>
      </c>
      <c r="E4">
        <v>500</v>
      </c>
      <c r="F4">
        <v>2.2000000000000002</v>
      </c>
      <c r="G4" s="1">
        <v>1100</v>
      </c>
    </row>
    <row r="5" spans="2:7" x14ac:dyDescent="0.25">
      <c r="B5" t="s">
        <v>6</v>
      </c>
      <c r="C5" t="s">
        <v>7</v>
      </c>
      <c r="D5" t="s">
        <v>10</v>
      </c>
      <c r="E5">
        <v>5000</v>
      </c>
      <c r="F5">
        <v>3.1</v>
      </c>
      <c r="G5" s="1">
        <v>15500</v>
      </c>
    </row>
    <row r="6" spans="2:7" x14ac:dyDescent="0.25">
      <c r="B6" t="s">
        <v>11</v>
      </c>
      <c r="C6" t="s">
        <v>7</v>
      </c>
      <c r="D6" t="s">
        <v>8</v>
      </c>
      <c r="E6">
        <v>3800</v>
      </c>
      <c r="F6">
        <v>2.8</v>
      </c>
      <c r="G6" s="1">
        <v>10640</v>
      </c>
    </row>
    <row r="7" spans="2:7" x14ac:dyDescent="0.25">
      <c r="B7" t="s">
        <v>11</v>
      </c>
      <c r="C7" t="s">
        <v>7</v>
      </c>
      <c r="D7" t="s">
        <v>9</v>
      </c>
      <c r="E7">
        <v>1200</v>
      </c>
      <c r="F7">
        <v>2.2000000000000002</v>
      </c>
      <c r="G7" s="1">
        <v>2640</v>
      </c>
    </row>
    <row r="8" spans="2:7" x14ac:dyDescent="0.25">
      <c r="B8" t="s">
        <v>11</v>
      </c>
      <c r="C8" t="s">
        <v>7</v>
      </c>
      <c r="D8" t="s">
        <v>10</v>
      </c>
      <c r="E8">
        <v>7000</v>
      </c>
      <c r="F8">
        <v>3.1</v>
      </c>
      <c r="G8" s="1">
        <v>21700</v>
      </c>
    </row>
    <row r="9" spans="2:7" x14ac:dyDescent="0.25">
      <c r="B9" t="s">
        <v>12</v>
      </c>
      <c r="C9" t="s">
        <v>7</v>
      </c>
      <c r="D9" t="s">
        <v>8</v>
      </c>
      <c r="E9">
        <v>1300</v>
      </c>
      <c r="F9">
        <v>2.9</v>
      </c>
      <c r="G9" s="1">
        <v>3770</v>
      </c>
    </row>
    <row r="10" spans="2:7" x14ac:dyDescent="0.25">
      <c r="B10" t="s">
        <v>12</v>
      </c>
      <c r="C10" t="s">
        <v>7</v>
      </c>
      <c r="D10" t="s">
        <v>9</v>
      </c>
      <c r="E10">
        <v>780</v>
      </c>
      <c r="F10">
        <v>2.5</v>
      </c>
      <c r="G10" s="1">
        <v>1950</v>
      </c>
    </row>
    <row r="11" spans="2:7" x14ac:dyDescent="0.25">
      <c r="B11" t="s">
        <v>12</v>
      </c>
      <c r="C11" t="s">
        <v>7</v>
      </c>
      <c r="D11" t="s">
        <v>10</v>
      </c>
      <c r="E11">
        <v>3000</v>
      </c>
      <c r="F11">
        <v>3.9</v>
      </c>
      <c r="G11" s="1">
        <v>11700</v>
      </c>
    </row>
    <row r="12" spans="2:7" x14ac:dyDescent="0.25">
      <c r="B12" t="s">
        <v>13</v>
      </c>
      <c r="C12" t="s">
        <v>14</v>
      </c>
      <c r="D12" t="s">
        <v>8</v>
      </c>
      <c r="E12">
        <v>700</v>
      </c>
      <c r="F12">
        <v>2.1</v>
      </c>
      <c r="G12" s="1">
        <v>1470</v>
      </c>
    </row>
    <row r="13" spans="2:7" x14ac:dyDescent="0.25">
      <c r="B13" t="s">
        <v>13</v>
      </c>
      <c r="C13" t="s">
        <v>14</v>
      </c>
      <c r="D13" t="s">
        <v>9</v>
      </c>
      <c r="E13">
        <v>450</v>
      </c>
      <c r="F13">
        <v>2.4500000000000002</v>
      </c>
      <c r="G13" s="1">
        <v>1102.5</v>
      </c>
    </row>
    <row r="14" spans="2:7" x14ac:dyDescent="0.25">
      <c r="B14" t="s">
        <v>13</v>
      </c>
      <c r="C14" t="s">
        <v>14</v>
      </c>
      <c r="D14" t="s">
        <v>10</v>
      </c>
      <c r="E14">
        <v>1200</v>
      </c>
      <c r="F14">
        <v>3.09</v>
      </c>
      <c r="G14" s="1">
        <v>3708</v>
      </c>
    </row>
    <row r="15" spans="2:7" x14ac:dyDescent="0.25">
      <c r="B15" t="s">
        <v>15</v>
      </c>
      <c r="C15" t="s">
        <v>14</v>
      </c>
      <c r="D15" t="s">
        <v>8</v>
      </c>
      <c r="E15">
        <v>560</v>
      </c>
      <c r="F15">
        <v>2.1</v>
      </c>
      <c r="G15" s="1">
        <v>1176</v>
      </c>
    </row>
    <row r="16" spans="2:7" x14ac:dyDescent="0.25">
      <c r="B16" t="s">
        <v>15</v>
      </c>
      <c r="C16" t="s">
        <v>14</v>
      </c>
      <c r="D16" t="s">
        <v>9</v>
      </c>
      <c r="E16">
        <v>340</v>
      </c>
      <c r="F16">
        <v>2.4500000000000002</v>
      </c>
      <c r="G16" s="1">
        <v>833.00000000000011</v>
      </c>
    </row>
    <row r="17" spans="2:7" x14ac:dyDescent="0.25">
      <c r="B17" t="s">
        <v>15</v>
      </c>
      <c r="C17" t="s">
        <v>14</v>
      </c>
      <c r="D17" t="s">
        <v>10</v>
      </c>
      <c r="E17">
        <v>1100</v>
      </c>
      <c r="F17">
        <v>3.09</v>
      </c>
      <c r="G17" s="1">
        <v>3399</v>
      </c>
    </row>
    <row r="18" spans="2:7" x14ac:dyDescent="0.25">
      <c r="B18" t="s">
        <v>16</v>
      </c>
      <c r="C18" t="s">
        <v>7</v>
      </c>
      <c r="D18" t="s">
        <v>8</v>
      </c>
      <c r="E18">
        <v>800</v>
      </c>
      <c r="F18">
        <v>2.95</v>
      </c>
      <c r="G18" s="1">
        <v>2360</v>
      </c>
    </row>
    <row r="19" spans="2:7" x14ac:dyDescent="0.25">
      <c r="B19" t="s">
        <v>16</v>
      </c>
      <c r="C19" t="s">
        <v>7</v>
      </c>
      <c r="D19" t="s">
        <v>9</v>
      </c>
      <c r="E19">
        <v>350</v>
      </c>
      <c r="F19">
        <v>2.7</v>
      </c>
      <c r="G19" s="1">
        <v>945.00000000000011</v>
      </c>
    </row>
    <row r="20" spans="2:7" x14ac:dyDescent="0.25">
      <c r="B20" t="s">
        <v>16</v>
      </c>
      <c r="C20" t="s">
        <v>7</v>
      </c>
      <c r="D20" t="s">
        <v>10</v>
      </c>
      <c r="E20">
        <v>1800</v>
      </c>
      <c r="F20">
        <v>3.78</v>
      </c>
      <c r="G20" s="1">
        <v>6804</v>
      </c>
    </row>
    <row r="21" spans="2:7" x14ac:dyDescent="0.25">
      <c r="G21" s="1"/>
    </row>
    <row r="22" spans="2:7" x14ac:dyDescent="0.25">
      <c r="G22" s="1"/>
    </row>
    <row r="23" spans="2:7" x14ac:dyDescent="0.25">
      <c r="G23" s="1"/>
    </row>
    <row r="24" spans="2:7" x14ac:dyDescent="0.25">
      <c r="G24" s="1"/>
    </row>
    <row r="25" spans="2:7" x14ac:dyDescent="0.25">
      <c r="G25" s="1"/>
    </row>
    <row r="26" spans="2:7" x14ac:dyDescent="0.25">
      <c r="G26" s="1"/>
    </row>
    <row r="27" spans="2:7" x14ac:dyDescent="0.25">
      <c r="G27" s="1"/>
    </row>
    <row r="28" spans="2:7" x14ac:dyDescent="0.25">
      <c r="G28" s="1"/>
    </row>
    <row r="29" spans="2:7" x14ac:dyDescent="0.25">
      <c r="G29" s="1"/>
    </row>
    <row r="30" spans="2:7" x14ac:dyDescent="0.25">
      <c r="G30" s="1"/>
    </row>
    <row r="31" spans="2:7" x14ac:dyDescent="0.25">
      <c r="G31" s="1"/>
    </row>
    <row r="32" spans="2:7" x14ac:dyDescent="0.25">
      <c r="G32" s="1"/>
    </row>
    <row r="33" spans="7:7" x14ac:dyDescent="0.25">
      <c r="G33" s="1"/>
    </row>
    <row r="34" spans="7:7" x14ac:dyDescent="0.25">
      <c r="G34" s="1"/>
    </row>
    <row r="35" spans="7:7" x14ac:dyDescent="0.25">
      <c r="G35" s="1"/>
    </row>
    <row r="36" spans="7:7" x14ac:dyDescent="0.25">
      <c r="G36" s="1"/>
    </row>
    <row r="37" spans="7:7" x14ac:dyDescent="0.25">
      <c r="G37" s="1"/>
    </row>
    <row r="38" spans="7:7" x14ac:dyDescent="0.25">
      <c r="G38" s="1"/>
    </row>
    <row r="39" spans="7:7" x14ac:dyDescent="0.25">
      <c r="G39" s="1"/>
    </row>
    <row r="40" spans="7:7" x14ac:dyDescent="0.25">
      <c r="G40" s="1"/>
    </row>
    <row r="41" spans="7:7" x14ac:dyDescent="0.25">
      <c r="G41" s="1"/>
    </row>
    <row r="42" spans="7:7" x14ac:dyDescent="0.25">
      <c r="G42" s="1"/>
    </row>
    <row r="43" spans="7:7" x14ac:dyDescent="0.25">
      <c r="G43" s="1"/>
    </row>
    <row r="44" spans="7:7" x14ac:dyDescent="0.25">
      <c r="G44" s="1"/>
    </row>
    <row r="45" spans="7:7" x14ac:dyDescent="0.25">
      <c r="G45" s="1"/>
    </row>
    <row r="46" spans="7:7" x14ac:dyDescent="0.25">
      <c r="G46" s="1"/>
    </row>
    <row r="47" spans="7:7" x14ac:dyDescent="0.25">
      <c r="G47" s="1"/>
    </row>
    <row r="48" spans="7:7" x14ac:dyDescent="0.25">
      <c r="G48" s="1"/>
    </row>
    <row r="49" spans="7:7" x14ac:dyDescent="0.25">
      <c r="G49" s="1"/>
    </row>
    <row r="50" spans="7:7" x14ac:dyDescent="0.25">
      <c r="G50" s="1"/>
    </row>
    <row r="51" spans="7:7" x14ac:dyDescent="0.25">
      <c r="G51" s="1"/>
    </row>
    <row r="52" spans="7:7" x14ac:dyDescent="0.25">
      <c r="G52" s="1"/>
    </row>
    <row r="53" spans="7:7" x14ac:dyDescent="0.25">
      <c r="G53" s="1"/>
    </row>
    <row r="54" spans="7:7" x14ac:dyDescent="0.25">
      <c r="G54" s="1"/>
    </row>
    <row r="55" spans="7:7" x14ac:dyDescent="0.25">
      <c r="G55" s="1"/>
    </row>
    <row r="56" spans="7:7" x14ac:dyDescent="0.25">
      <c r="G56" s="1"/>
    </row>
    <row r="57" spans="7:7" x14ac:dyDescent="0.25">
      <c r="G57" s="1"/>
    </row>
    <row r="58" spans="7:7" x14ac:dyDescent="0.25">
      <c r="G58" s="1"/>
    </row>
    <row r="59" spans="7:7" x14ac:dyDescent="0.25">
      <c r="G59" s="1"/>
    </row>
    <row r="60" spans="7:7" x14ac:dyDescent="0.25">
      <c r="G60" s="1"/>
    </row>
    <row r="61" spans="7:7" x14ac:dyDescent="0.25">
      <c r="G61" s="1"/>
    </row>
    <row r="62" spans="7:7" x14ac:dyDescent="0.25">
      <c r="G62" s="1"/>
    </row>
    <row r="63" spans="7:7" x14ac:dyDescent="0.25">
      <c r="G63" s="1"/>
    </row>
    <row r="64" spans="7:7" x14ac:dyDescent="0.25">
      <c r="G64" s="1"/>
    </row>
    <row r="65" spans="7:7" x14ac:dyDescent="0.25">
      <c r="G65" s="1"/>
    </row>
    <row r="66" spans="7:7" x14ac:dyDescent="0.25">
      <c r="G66" s="1"/>
    </row>
    <row r="67" spans="7:7" x14ac:dyDescent="0.25">
      <c r="G67" s="1"/>
    </row>
    <row r="68" spans="7:7" x14ac:dyDescent="0.25">
      <c r="G68" s="1"/>
    </row>
    <row r="69" spans="7:7" x14ac:dyDescent="0.25">
      <c r="G69" s="1"/>
    </row>
    <row r="70" spans="7:7" x14ac:dyDescent="0.25">
      <c r="G70" s="1"/>
    </row>
    <row r="71" spans="7:7" x14ac:dyDescent="0.25">
      <c r="G71" s="1"/>
    </row>
    <row r="72" spans="7:7" x14ac:dyDescent="0.25">
      <c r="G72" s="1"/>
    </row>
    <row r="73" spans="7:7" x14ac:dyDescent="0.25">
      <c r="G73" s="1"/>
    </row>
    <row r="74" spans="7:7" x14ac:dyDescent="0.25">
      <c r="G74" s="1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  <row r="80" spans="7:7" x14ac:dyDescent="0.25">
      <c r="G80" s="1"/>
    </row>
    <row r="81" spans="7:7" x14ac:dyDescent="0.25">
      <c r="G81" s="1"/>
    </row>
    <row r="82" spans="7:7" x14ac:dyDescent="0.25">
      <c r="G82" s="1"/>
    </row>
    <row r="83" spans="7:7" x14ac:dyDescent="0.25">
      <c r="G83" s="1"/>
    </row>
    <row r="84" spans="7:7" x14ac:dyDescent="0.25">
      <c r="G84" s="1"/>
    </row>
    <row r="85" spans="7:7" x14ac:dyDescent="0.25">
      <c r="G85" s="1"/>
    </row>
    <row r="86" spans="7:7" x14ac:dyDescent="0.25">
      <c r="G86" s="1"/>
    </row>
    <row r="87" spans="7:7" x14ac:dyDescent="0.25">
      <c r="G87" s="1"/>
    </row>
    <row r="88" spans="7:7" x14ac:dyDescent="0.25">
      <c r="G88" s="1"/>
    </row>
    <row r="89" spans="7:7" x14ac:dyDescent="0.25">
      <c r="G89" s="1"/>
    </row>
    <row r="90" spans="7:7" x14ac:dyDescent="0.25">
      <c r="G90" s="1"/>
    </row>
    <row r="91" spans="7:7" x14ac:dyDescent="0.25">
      <c r="G91" s="1"/>
    </row>
    <row r="92" spans="7:7" x14ac:dyDescent="0.25">
      <c r="G92" s="1"/>
    </row>
    <row r="93" spans="7:7" x14ac:dyDescent="0.25">
      <c r="G93" s="1"/>
    </row>
    <row r="94" spans="7:7" x14ac:dyDescent="0.25">
      <c r="G94" s="1"/>
    </row>
    <row r="95" spans="7:7" x14ac:dyDescent="0.25">
      <c r="G95" s="1"/>
    </row>
    <row r="96" spans="7:7" x14ac:dyDescent="0.25">
      <c r="G96" s="1"/>
    </row>
    <row r="97" spans="7:7" x14ac:dyDescent="0.25">
      <c r="G97" s="1"/>
    </row>
    <row r="98" spans="7:7" x14ac:dyDescent="0.25">
      <c r="G98" s="1"/>
    </row>
    <row r="99" spans="7:7" x14ac:dyDescent="0.25">
      <c r="G99" s="1"/>
    </row>
    <row r="100" spans="7:7" x14ac:dyDescent="0.25">
      <c r="G100" s="1"/>
    </row>
    <row r="101" spans="7:7" x14ac:dyDescent="0.25">
      <c r="G101" s="1"/>
    </row>
    <row r="102" spans="7:7" x14ac:dyDescent="0.25">
      <c r="G102" s="1"/>
    </row>
    <row r="103" spans="7:7" x14ac:dyDescent="0.25">
      <c r="G103" s="1"/>
    </row>
    <row r="104" spans="7:7" x14ac:dyDescent="0.25">
      <c r="G104" s="1"/>
    </row>
    <row r="105" spans="7:7" x14ac:dyDescent="0.25">
      <c r="G105" s="1"/>
    </row>
    <row r="106" spans="7:7" x14ac:dyDescent="0.25">
      <c r="G106" s="1"/>
    </row>
    <row r="107" spans="7:7" x14ac:dyDescent="0.25">
      <c r="G107" s="1"/>
    </row>
    <row r="108" spans="7:7" x14ac:dyDescent="0.25">
      <c r="G108" s="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0238-1515-47D8-AADD-976303AC4BE8}">
  <sheetPr codeName="Planilha3"/>
  <dimension ref="A2:AE22"/>
  <sheetViews>
    <sheetView showGridLines="0" tabSelected="1" zoomScale="55" zoomScaleNormal="55" workbookViewId="0">
      <selection activeCell="Y4" sqref="Y4"/>
    </sheetView>
  </sheetViews>
  <sheetFormatPr defaultRowHeight="15" x14ac:dyDescent="0.25"/>
  <cols>
    <col min="1" max="20" width="9.140625" style="6"/>
  </cols>
  <sheetData>
    <row r="2" spans="1:31" ht="19.5" x14ac:dyDescent="0.3">
      <c r="V2" s="8"/>
    </row>
    <row r="4" spans="1:31" ht="83.25" customHeight="1" x14ac:dyDescent="0.4">
      <c r="AE4" s="9"/>
    </row>
    <row r="5" spans="1:31" ht="19.5" x14ac:dyDescent="0.25">
      <c r="A5" s="7" t="s">
        <v>24</v>
      </c>
      <c r="B5" s="7"/>
      <c r="C5" s="7"/>
      <c r="D5" s="7"/>
      <c r="E5" s="7"/>
      <c r="F5" s="7"/>
      <c r="G5" s="7"/>
      <c r="H5" s="7"/>
      <c r="I5" s="7"/>
      <c r="J5" s="7"/>
      <c r="K5" s="7" t="s">
        <v>23</v>
      </c>
      <c r="L5" s="7"/>
      <c r="M5" s="7"/>
      <c r="N5" s="7"/>
      <c r="O5" s="7"/>
      <c r="P5" s="7"/>
      <c r="Q5" s="7"/>
      <c r="R5" s="7"/>
      <c r="S5" s="7"/>
      <c r="T5" s="7"/>
    </row>
    <row r="15" spans="1:31" ht="19.5" x14ac:dyDescent="0.3">
      <c r="V15" s="8"/>
    </row>
    <row r="21" spans="1:20" ht="42" customHeight="1" x14ac:dyDescent="0.25"/>
    <row r="22" spans="1:20" ht="19.5" x14ac:dyDescent="0.25">
      <c r="A22" s="7" t="s">
        <v>22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</sheetData>
  <mergeCells count="3">
    <mergeCell ref="A5:J5"/>
    <mergeCell ref="K5:T5"/>
    <mergeCell ref="A22:T2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Tabelas Dinâmicas</vt:lpstr>
      <vt:lpstr>Dados</vt:lpstr>
      <vt:lpstr>Painel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2022-09-21T00:24:31Z</dcterms:modified>
  <cp:category/>
  <cp:contentStatus/>
</cp:coreProperties>
</file>