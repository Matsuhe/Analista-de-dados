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Haos-Professor\Desktop\"/>
    </mc:Choice>
  </mc:AlternateContent>
  <xr:revisionPtr revIDLastSave="0" documentId="13_ncr:1_{B39E1841-B4D2-4865-B25B-95D288D911E0}" xr6:coauthVersionLast="47" xr6:coauthVersionMax="47" xr10:uidLastSave="{00000000-0000-0000-0000-000000000000}"/>
  <bookViews>
    <workbookView xWindow="-120" yWindow="-120" windowWidth="20730" windowHeight="11160" tabRatio="803" activeTab="3" xr2:uid="{00000000-000D-0000-FFFF-FFFF00000000}"/>
  </bookViews>
  <sheets>
    <sheet name="Tabelas Dinâmicas" sheetId="11" r:id="rId1"/>
    <sheet name="Base" sheetId="10" r:id="rId2"/>
    <sheet name="Planilha3" sheetId="13" state="hidden" r:id="rId3"/>
    <sheet name="Dashboard" sheetId="12" r:id="rId4"/>
  </sheets>
  <definedNames>
    <definedName name="_xlnm._FilterDatabase" localSheetId="1" hidden="1">Base!$A$1:$H$138</definedName>
    <definedName name="NativeTimeline_Data_da_Venda">#N/A</definedName>
    <definedName name="SegmentaçãodeDados_Anúncio_responsavel">#N/A</definedName>
    <definedName name="SegmentaçãodeDados_Cliente">#N/A</definedName>
    <definedName name="SegmentaçãodeDados_Filial">#N/A</definedName>
    <definedName name="SegmentaçãodeDados_Produto">#N/A</definedName>
  </definedNames>
  <calcPr calcId="191029"/>
  <pivotCaches>
    <pivotCache cacheId="129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<sst xmlns="http://schemas.openxmlformats.org/spreadsheetml/2006/main" count="932" uniqueCount="74">
  <si>
    <t>Cliente</t>
  </si>
  <si>
    <t>Produto</t>
  </si>
  <si>
    <t>Vendedor</t>
  </si>
  <si>
    <t>Filial</t>
  </si>
  <si>
    <t>Data da Venda</t>
  </si>
  <si>
    <t>Valor</t>
  </si>
  <si>
    <t>Mês da Venda</t>
  </si>
  <si>
    <t>Anúncio responsavel</t>
  </si>
  <si>
    <t>Mallay</t>
  </si>
  <si>
    <t>Produto 02</t>
  </si>
  <si>
    <t>Vicente Souza</t>
  </si>
  <si>
    <t>RJ</t>
  </si>
  <si>
    <t>Abril</t>
  </si>
  <si>
    <t>E-mail Marketing</t>
  </si>
  <si>
    <t>Martins Ocre</t>
  </si>
  <si>
    <t>Produto 04</t>
  </si>
  <si>
    <t>José Viana</t>
  </si>
  <si>
    <t>PR</t>
  </si>
  <si>
    <t>Maio</t>
  </si>
  <si>
    <t>TV - Bandeirantes</t>
  </si>
  <si>
    <t>JVR Máquinas</t>
  </si>
  <si>
    <t>Junho</t>
  </si>
  <si>
    <t>Agosto</t>
  </si>
  <si>
    <t>Facebook Ads</t>
  </si>
  <si>
    <t>ABC Consultoria</t>
  </si>
  <si>
    <t>Juliana Amorim</t>
  </si>
  <si>
    <t>MG</t>
  </si>
  <si>
    <t>Julho</t>
  </si>
  <si>
    <t>Julio Batista</t>
  </si>
  <si>
    <t>Produto 01</t>
  </si>
  <si>
    <t>Dezembro</t>
  </si>
  <si>
    <t>TV - Globo</t>
  </si>
  <si>
    <t>Empresa ABC</t>
  </si>
  <si>
    <t>Produto 03</t>
  </si>
  <si>
    <t>Joana Silva</t>
  </si>
  <si>
    <t>Bing Ads</t>
  </si>
  <si>
    <t>Setembro</t>
  </si>
  <si>
    <t>Google Adwords</t>
  </si>
  <si>
    <t>Joana Almeida</t>
  </si>
  <si>
    <t>SP</t>
  </si>
  <si>
    <t>Fevereiro</t>
  </si>
  <si>
    <t>Rádio CBN</t>
  </si>
  <si>
    <t>David Alberto</t>
  </si>
  <si>
    <t>Antonio Bertoldo</t>
  </si>
  <si>
    <t>Novembro</t>
  </si>
  <si>
    <t>Maria Amália</t>
  </si>
  <si>
    <t>Outubro</t>
  </si>
  <si>
    <t>TV - SBT</t>
  </si>
  <si>
    <t>Carlos Antonio</t>
  </si>
  <si>
    <t>Matheus Henrique</t>
  </si>
  <si>
    <t>Aline Montain</t>
  </si>
  <si>
    <t>Março</t>
  </si>
  <si>
    <t>Antonio Carlos</t>
  </si>
  <si>
    <t>Janeiro</t>
  </si>
  <si>
    <t>Fernando Luiz</t>
  </si>
  <si>
    <t>Lucia Martins</t>
  </si>
  <si>
    <t>Carlos Costa</t>
  </si>
  <si>
    <t>Claudia Trombone</t>
  </si>
  <si>
    <t>Paulo Fernandes</t>
  </si>
  <si>
    <t>Claudia Leite</t>
  </si>
  <si>
    <t>Leticia Santos</t>
  </si>
  <si>
    <t>Patria Poeta</t>
  </si>
  <si>
    <t>Antonio Nunes</t>
  </si>
  <si>
    <t>Soma de Valor</t>
  </si>
  <si>
    <t>Rótulos de Linha</t>
  </si>
  <si>
    <t>Total Geral</t>
  </si>
  <si>
    <t>Contagem de Valor</t>
  </si>
  <si>
    <t>Rótulos de Coluna</t>
  </si>
  <si>
    <t>Análise Financeira</t>
  </si>
  <si>
    <t>Faturamento por Data</t>
  </si>
  <si>
    <t>Faturamento por Vendedor</t>
  </si>
  <si>
    <t>Faturamento por Anúncio</t>
  </si>
  <si>
    <t>Contagem por Filial e Produto</t>
  </si>
  <si>
    <t>Produto 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</si>
</sst>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0"/>
      <color theme="1"/>
      <name val="Open Sans Semibold"/>
      <family val="2"/>
    </font>
    <font>
      <b/>
      <sz val="15"/>
      <color theme="1"/>
      <name val="Open Sans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44" fontId="0" fillId="0" borderId="0" xfId="1" applyFont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4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4">
    <dxf>
      <numFmt numFmtId="19" formatCode="dd/mm/yyyy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 Dashboard.xlsm]Tabelas Dinâmicas!Tabela dinâmica1</c:name>
    <c:fmtId val="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331758530183723"/>
          <c:y val="0.14393518518518519"/>
          <c:w val="0.61968197725284335"/>
          <c:h val="0.57067913385826774"/>
        </c:manualLayout>
      </c:layout>
      <c:lineChart>
        <c:grouping val="standard"/>
        <c:varyColors val="0"/>
        <c:ser>
          <c:idx val="0"/>
          <c:order val="0"/>
          <c:tx>
            <c:strRef>
              <c:f>'Tabelas Dinâmicas'!$B$3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'Tabelas Dinâmicas'!$A$4:$A$104</c:f>
              <c:strCache>
                <c:ptCount val="100"/>
                <c:pt idx="0">
                  <c:v>13/01/2015</c:v>
                </c:pt>
                <c:pt idx="1">
                  <c:v>21/01/2015</c:v>
                </c:pt>
                <c:pt idx="2">
                  <c:v>28/01/2015</c:v>
                </c:pt>
                <c:pt idx="3">
                  <c:v>06/02/2015</c:v>
                </c:pt>
                <c:pt idx="4">
                  <c:v>12/02/2015</c:v>
                </c:pt>
                <c:pt idx="5">
                  <c:v>08/03/2015</c:v>
                </c:pt>
                <c:pt idx="6">
                  <c:v>09/03/2015</c:v>
                </c:pt>
                <c:pt idx="7">
                  <c:v>15/03/2015</c:v>
                </c:pt>
                <c:pt idx="8">
                  <c:v>27/03/2015</c:v>
                </c:pt>
                <c:pt idx="9">
                  <c:v>29/03/2015</c:v>
                </c:pt>
                <c:pt idx="10">
                  <c:v>07/04/2015</c:v>
                </c:pt>
                <c:pt idx="11">
                  <c:v>17/04/2015</c:v>
                </c:pt>
                <c:pt idx="12">
                  <c:v>02/05/2015</c:v>
                </c:pt>
                <c:pt idx="13">
                  <c:v>31/05/2015</c:v>
                </c:pt>
                <c:pt idx="14">
                  <c:v>14/06/2015</c:v>
                </c:pt>
                <c:pt idx="15">
                  <c:v>19/06/2015</c:v>
                </c:pt>
                <c:pt idx="16">
                  <c:v>21/06/2015</c:v>
                </c:pt>
                <c:pt idx="17">
                  <c:v>23/06/2015</c:v>
                </c:pt>
                <c:pt idx="18">
                  <c:v>16/07/2015</c:v>
                </c:pt>
                <c:pt idx="19">
                  <c:v>18/07/2015</c:v>
                </c:pt>
                <c:pt idx="20">
                  <c:v>19/07/2015</c:v>
                </c:pt>
                <c:pt idx="21">
                  <c:v>21/07/2015</c:v>
                </c:pt>
                <c:pt idx="22">
                  <c:v>23/07/2015</c:v>
                </c:pt>
                <c:pt idx="23">
                  <c:v>01/08/2015</c:v>
                </c:pt>
                <c:pt idx="24">
                  <c:v>05/08/2015</c:v>
                </c:pt>
                <c:pt idx="25">
                  <c:v>17/08/2015</c:v>
                </c:pt>
                <c:pt idx="26">
                  <c:v>03/09/2015</c:v>
                </c:pt>
                <c:pt idx="27">
                  <c:v>13/09/2015</c:v>
                </c:pt>
                <c:pt idx="28">
                  <c:v>16/09/2015</c:v>
                </c:pt>
                <c:pt idx="29">
                  <c:v>17/09/2015</c:v>
                </c:pt>
                <c:pt idx="30">
                  <c:v>25/09/2015</c:v>
                </c:pt>
                <c:pt idx="31">
                  <c:v>03/10/2015</c:v>
                </c:pt>
                <c:pt idx="32">
                  <c:v>06/10/2015</c:v>
                </c:pt>
                <c:pt idx="33">
                  <c:v>07/10/2015</c:v>
                </c:pt>
                <c:pt idx="34">
                  <c:v>11/10/2015</c:v>
                </c:pt>
                <c:pt idx="35">
                  <c:v>18/10/2015</c:v>
                </c:pt>
                <c:pt idx="36">
                  <c:v>19/10/2015</c:v>
                </c:pt>
                <c:pt idx="37">
                  <c:v>21/10/2015</c:v>
                </c:pt>
                <c:pt idx="38">
                  <c:v>27/10/2015</c:v>
                </c:pt>
                <c:pt idx="39">
                  <c:v>28/10/2015</c:v>
                </c:pt>
                <c:pt idx="40">
                  <c:v>04/11/2015</c:v>
                </c:pt>
                <c:pt idx="41">
                  <c:v>08/11/2015</c:v>
                </c:pt>
                <c:pt idx="42">
                  <c:v>29/11/2015</c:v>
                </c:pt>
                <c:pt idx="43">
                  <c:v>03/12/2015</c:v>
                </c:pt>
                <c:pt idx="44">
                  <c:v>04/12/2015</c:v>
                </c:pt>
                <c:pt idx="45">
                  <c:v>10/12/2015</c:v>
                </c:pt>
                <c:pt idx="46">
                  <c:v>12/12/2015</c:v>
                </c:pt>
                <c:pt idx="47">
                  <c:v>19/12/2015</c:v>
                </c:pt>
                <c:pt idx="48">
                  <c:v>29/12/2015</c:v>
                </c:pt>
                <c:pt idx="49">
                  <c:v>30/12/2015</c:v>
                </c:pt>
                <c:pt idx="50">
                  <c:v>28/01/2016</c:v>
                </c:pt>
                <c:pt idx="51">
                  <c:v>05/02/2016</c:v>
                </c:pt>
                <c:pt idx="52">
                  <c:v>06/02/2016</c:v>
                </c:pt>
                <c:pt idx="53">
                  <c:v>18/02/2016</c:v>
                </c:pt>
                <c:pt idx="54">
                  <c:v>03/03/2016</c:v>
                </c:pt>
                <c:pt idx="55">
                  <c:v>15/03/2016</c:v>
                </c:pt>
                <c:pt idx="56">
                  <c:v>16/03/2016</c:v>
                </c:pt>
                <c:pt idx="57">
                  <c:v>01/04/2016</c:v>
                </c:pt>
                <c:pt idx="58">
                  <c:v>02/04/2016</c:v>
                </c:pt>
                <c:pt idx="59">
                  <c:v>05/04/2016</c:v>
                </c:pt>
                <c:pt idx="60">
                  <c:v>09/04/2016</c:v>
                </c:pt>
                <c:pt idx="61">
                  <c:v>17/04/2016</c:v>
                </c:pt>
                <c:pt idx="62">
                  <c:v>25/04/2016</c:v>
                </c:pt>
                <c:pt idx="63">
                  <c:v>08/05/2016</c:v>
                </c:pt>
                <c:pt idx="64">
                  <c:v>14/05/2016</c:v>
                </c:pt>
                <c:pt idx="65">
                  <c:v>18/05/2016</c:v>
                </c:pt>
                <c:pt idx="66">
                  <c:v>27/05/2016</c:v>
                </c:pt>
                <c:pt idx="67">
                  <c:v>01/06/2016</c:v>
                </c:pt>
                <c:pt idx="68">
                  <c:v>07/06/2016</c:v>
                </c:pt>
                <c:pt idx="69">
                  <c:v>08/06/2016</c:v>
                </c:pt>
                <c:pt idx="70">
                  <c:v>14/06/2016</c:v>
                </c:pt>
                <c:pt idx="71">
                  <c:v>15/06/2016</c:v>
                </c:pt>
                <c:pt idx="72">
                  <c:v>18/06/2016</c:v>
                </c:pt>
                <c:pt idx="73">
                  <c:v>09/07/2016</c:v>
                </c:pt>
                <c:pt idx="74">
                  <c:v>25/07/2016</c:v>
                </c:pt>
                <c:pt idx="75">
                  <c:v>02/08/2016</c:v>
                </c:pt>
                <c:pt idx="76">
                  <c:v>04/08/2016</c:v>
                </c:pt>
                <c:pt idx="77">
                  <c:v>13/08/2016</c:v>
                </c:pt>
                <c:pt idx="78">
                  <c:v>14/08/2016</c:v>
                </c:pt>
                <c:pt idx="79">
                  <c:v>21/08/2016</c:v>
                </c:pt>
                <c:pt idx="80">
                  <c:v>24/08/2016</c:v>
                </c:pt>
                <c:pt idx="81">
                  <c:v>29/08/2016</c:v>
                </c:pt>
                <c:pt idx="82">
                  <c:v>30/08/2016</c:v>
                </c:pt>
                <c:pt idx="83">
                  <c:v>01/09/2016</c:v>
                </c:pt>
                <c:pt idx="84">
                  <c:v>20/09/2016</c:v>
                </c:pt>
                <c:pt idx="85">
                  <c:v>25/09/2016</c:v>
                </c:pt>
                <c:pt idx="86">
                  <c:v>02/10/2016</c:v>
                </c:pt>
                <c:pt idx="87">
                  <c:v>03/10/2016</c:v>
                </c:pt>
                <c:pt idx="88">
                  <c:v>19/10/2016</c:v>
                </c:pt>
                <c:pt idx="89">
                  <c:v>03/11/2016</c:v>
                </c:pt>
                <c:pt idx="90">
                  <c:v>09/11/2016</c:v>
                </c:pt>
                <c:pt idx="91">
                  <c:v>17/11/2016</c:v>
                </c:pt>
                <c:pt idx="92">
                  <c:v>23/11/2016</c:v>
                </c:pt>
                <c:pt idx="93">
                  <c:v>14/12/2016</c:v>
                </c:pt>
                <c:pt idx="94">
                  <c:v>17/12/2016</c:v>
                </c:pt>
                <c:pt idx="95">
                  <c:v>19/12/2016</c:v>
                </c:pt>
                <c:pt idx="96">
                  <c:v>20/12/2016</c:v>
                </c:pt>
                <c:pt idx="97">
                  <c:v>21/12/2016</c:v>
                </c:pt>
                <c:pt idx="98">
                  <c:v>22/12/2016</c:v>
                </c:pt>
                <c:pt idx="99">
                  <c:v>01/01/2017</c:v>
                </c:pt>
              </c:strCache>
            </c:strRef>
          </c:cat>
          <c:val>
            <c:numRef>
              <c:f>'Tabelas Dinâmicas'!$B$4:$B$104</c:f>
              <c:numCache>
                <c:formatCode>_("R$"* #,##0.00_);_("R$"* \(#,##0.00\);_("R$"* "-"??_);_(@_)</c:formatCode>
                <c:ptCount val="100"/>
                <c:pt idx="0">
                  <c:v>22094</c:v>
                </c:pt>
                <c:pt idx="1">
                  <c:v>24094</c:v>
                </c:pt>
                <c:pt idx="2">
                  <c:v>20781</c:v>
                </c:pt>
                <c:pt idx="3">
                  <c:v>35138</c:v>
                </c:pt>
                <c:pt idx="4">
                  <c:v>37529</c:v>
                </c:pt>
                <c:pt idx="5">
                  <c:v>10189</c:v>
                </c:pt>
                <c:pt idx="6">
                  <c:v>15041</c:v>
                </c:pt>
                <c:pt idx="7">
                  <c:v>35960</c:v>
                </c:pt>
                <c:pt idx="8">
                  <c:v>17117</c:v>
                </c:pt>
                <c:pt idx="9">
                  <c:v>33627</c:v>
                </c:pt>
                <c:pt idx="10">
                  <c:v>39508</c:v>
                </c:pt>
                <c:pt idx="11">
                  <c:v>15503</c:v>
                </c:pt>
                <c:pt idx="12">
                  <c:v>13197</c:v>
                </c:pt>
                <c:pt idx="13">
                  <c:v>9524</c:v>
                </c:pt>
                <c:pt idx="14">
                  <c:v>28208</c:v>
                </c:pt>
                <c:pt idx="15">
                  <c:v>17005</c:v>
                </c:pt>
                <c:pt idx="16">
                  <c:v>33575</c:v>
                </c:pt>
                <c:pt idx="17">
                  <c:v>14616</c:v>
                </c:pt>
                <c:pt idx="18">
                  <c:v>197020</c:v>
                </c:pt>
                <c:pt idx="19">
                  <c:v>9323</c:v>
                </c:pt>
                <c:pt idx="20">
                  <c:v>37790</c:v>
                </c:pt>
                <c:pt idx="21">
                  <c:v>29305</c:v>
                </c:pt>
                <c:pt idx="22">
                  <c:v>38870</c:v>
                </c:pt>
                <c:pt idx="23">
                  <c:v>39783</c:v>
                </c:pt>
                <c:pt idx="24">
                  <c:v>18498</c:v>
                </c:pt>
                <c:pt idx="25">
                  <c:v>22622</c:v>
                </c:pt>
                <c:pt idx="26">
                  <c:v>24050</c:v>
                </c:pt>
                <c:pt idx="27">
                  <c:v>40341</c:v>
                </c:pt>
                <c:pt idx="28">
                  <c:v>40983</c:v>
                </c:pt>
                <c:pt idx="29">
                  <c:v>35185</c:v>
                </c:pt>
                <c:pt idx="30">
                  <c:v>36234</c:v>
                </c:pt>
                <c:pt idx="31">
                  <c:v>19625</c:v>
                </c:pt>
                <c:pt idx="32">
                  <c:v>14924</c:v>
                </c:pt>
                <c:pt idx="33">
                  <c:v>25885</c:v>
                </c:pt>
                <c:pt idx="34">
                  <c:v>34581</c:v>
                </c:pt>
                <c:pt idx="35">
                  <c:v>19502</c:v>
                </c:pt>
                <c:pt idx="36">
                  <c:v>28537</c:v>
                </c:pt>
                <c:pt idx="37">
                  <c:v>28650</c:v>
                </c:pt>
                <c:pt idx="38">
                  <c:v>39307</c:v>
                </c:pt>
                <c:pt idx="39">
                  <c:v>23921</c:v>
                </c:pt>
                <c:pt idx="40">
                  <c:v>19796</c:v>
                </c:pt>
                <c:pt idx="41">
                  <c:v>26462</c:v>
                </c:pt>
                <c:pt idx="42">
                  <c:v>38310</c:v>
                </c:pt>
                <c:pt idx="43">
                  <c:v>32441</c:v>
                </c:pt>
                <c:pt idx="44">
                  <c:v>30848</c:v>
                </c:pt>
                <c:pt idx="45">
                  <c:v>38346</c:v>
                </c:pt>
                <c:pt idx="46">
                  <c:v>20283</c:v>
                </c:pt>
                <c:pt idx="47">
                  <c:v>38470</c:v>
                </c:pt>
                <c:pt idx="48">
                  <c:v>44700</c:v>
                </c:pt>
                <c:pt idx="49">
                  <c:v>36154</c:v>
                </c:pt>
                <c:pt idx="50">
                  <c:v>38472</c:v>
                </c:pt>
                <c:pt idx="51">
                  <c:v>77163</c:v>
                </c:pt>
                <c:pt idx="52">
                  <c:v>36375</c:v>
                </c:pt>
                <c:pt idx="53">
                  <c:v>13558</c:v>
                </c:pt>
                <c:pt idx="54">
                  <c:v>24024</c:v>
                </c:pt>
                <c:pt idx="55">
                  <c:v>16164</c:v>
                </c:pt>
                <c:pt idx="56">
                  <c:v>7882</c:v>
                </c:pt>
                <c:pt idx="57">
                  <c:v>10325</c:v>
                </c:pt>
                <c:pt idx="58">
                  <c:v>24987</c:v>
                </c:pt>
                <c:pt idx="59">
                  <c:v>25486</c:v>
                </c:pt>
                <c:pt idx="60">
                  <c:v>25919</c:v>
                </c:pt>
                <c:pt idx="61">
                  <c:v>40768</c:v>
                </c:pt>
                <c:pt idx="62">
                  <c:v>43622</c:v>
                </c:pt>
                <c:pt idx="63">
                  <c:v>37801</c:v>
                </c:pt>
                <c:pt idx="64">
                  <c:v>43597</c:v>
                </c:pt>
                <c:pt idx="65">
                  <c:v>13066</c:v>
                </c:pt>
                <c:pt idx="66">
                  <c:v>34459</c:v>
                </c:pt>
                <c:pt idx="67">
                  <c:v>21247</c:v>
                </c:pt>
                <c:pt idx="68">
                  <c:v>35787</c:v>
                </c:pt>
                <c:pt idx="69">
                  <c:v>43467</c:v>
                </c:pt>
                <c:pt idx="70">
                  <c:v>26130</c:v>
                </c:pt>
                <c:pt idx="71">
                  <c:v>23204</c:v>
                </c:pt>
                <c:pt idx="72">
                  <c:v>23874</c:v>
                </c:pt>
                <c:pt idx="73">
                  <c:v>11608</c:v>
                </c:pt>
                <c:pt idx="74">
                  <c:v>37597</c:v>
                </c:pt>
                <c:pt idx="75">
                  <c:v>29998</c:v>
                </c:pt>
                <c:pt idx="76">
                  <c:v>41264</c:v>
                </c:pt>
                <c:pt idx="77">
                  <c:v>42779</c:v>
                </c:pt>
                <c:pt idx="78">
                  <c:v>8126</c:v>
                </c:pt>
                <c:pt idx="79">
                  <c:v>28232</c:v>
                </c:pt>
                <c:pt idx="80">
                  <c:v>30791</c:v>
                </c:pt>
                <c:pt idx="81">
                  <c:v>37006</c:v>
                </c:pt>
                <c:pt idx="82">
                  <c:v>28563</c:v>
                </c:pt>
                <c:pt idx="83">
                  <c:v>14308</c:v>
                </c:pt>
                <c:pt idx="84">
                  <c:v>11080</c:v>
                </c:pt>
                <c:pt idx="85">
                  <c:v>25641</c:v>
                </c:pt>
                <c:pt idx="86">
                  <c:v>20160</c:v>
                </c:pt>
                <c:pt idx="87">
                  <c:v>16963</c:v>
                </c:pt>
                <c:pt idx="88">
                  <c:v>19737</c:v>
                </c:pt>
                <c:pt idx="89">
                  <c:v>39520</c:v>
                </c:pt>
                <c:pt idx="90">
                  <c:v>107872</c:v>
                </c:pt>
                <c:pt idx="91">
                  <c:v>26442</c:v>
                </c:pt>
                <c:pt idx="92">
                  <c:v>16066</c:v>
                </c:pt>
                <c:pt idx="93">
                  <c:v>5000</c:v>
                </c:pt>
                <c:pt idx="94">
                  <c:v>14525</c:v>
                </c:pt>
                <c:pt idx="95">
                  <c:v>10000</c:v>
                </c:pt>
                <c:pt idx="96">
                  <c:v>5000</c:v>
                </c:pt>
                <c:pt idx="97">
                  <c:v>2000</c:v>
                </c:pt>
                <c:pt idx="98">
                  <c:v>3000</c:v>
                </c:pt>
                <c:pt idx="99">
                  <c:v>399142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5-4CCF-960F-86210408A38D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594516399"/>
        <c:axId val="1594530959"/>
      </c:lineChart>
      <c:catAx>
        <c:axId val="1594516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4530959"/>
        <c:crosses val="autoZero"/>
        <c:auto val="1"/>
        <c:lblAlgn val="ctr"/>
        <c:lblOffset val="100"/>
        <c:noMultiLvlLbl val="0"/>
      </c:catAx>
      <c:valAx>
        <c:axId val="1594530959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451639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 Dashboard.xlsm]Tabelas Dinâmicas!Tabela dinâmica2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Dinâmicas'!$D$4:$D$12</c:f>
              <c:strCache>
                <c:ptCount val="8"/>
                <c:pt idx="0">
                  <c:v>Bing Ads</c:v>
                </c:pt>
                <c:pt idx="1">
                  <c:v>E-mail Marketing</c:v>
                </c:pt>
                <c:pt idx="2">
                  <c:v>Facebook Ads</c:v>
                </c:pt>
                <c:pt idx="3">
                  <c:v>Google Adwords</c:v>
                </c:pt>
                <c:pt idx="4">
                  <c:v>Rádio CBN</c:v>
                </c:pt>
                <c:pt idx="5">
                  <c:v>TV - Bandeirantes</c:v>
                </c:pt>
                <c:pt idx="6">
                  <c:v>TV - Globo</c:v>
                </c:pt>
                <c:pt idx="7">
                  <c:v>TV - SBT</c:v>
                </c:pt>
              </c:strCache>
            </c:strRef>
          </c:cat>
          <c:val>
            <c:numRef>
              <c:f>'Tabelas Dinâmicas'!$E$4:$E$12</c:f>
              <c:numCache>
                <c:formatCode>General</c:formatCode>
                <c:ptCount val="8"/>
                <c:pt idx="0">
                  <c:v>395647</c:v>
                </c:pt>
                <c:pt idx="1">
                  <c:v>867507</c:v>
                </c:pt>
                <c:pt idx="2">
                  <c:v>279291</c:v>
                </c:pt>
                <c:pt idx="3">
                  <c:v>325681</c:v>
                </c:pt>
                <c:pt idx="4">
                  <c:v>402015</c:v>
                </c:pt>
                <c:pt idx="5">
                  <c:v>322744</c:v>
                </c:pt>
                <c:pt idx="6">
                  <c:v>276374</c:v>
                </c:pt>
                <c:pt idx="7">
                  <c:v>403990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DD-464B-8FA0-73863D949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3499455"/>
        <c:axId val="1553489471"/>
      </c:barChart>
      <c:catAx>
        <c:axId val="155349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489471"/>
        <c:crosses val="autoZero"/>
        <c:auto val="1"/>
        <c:lblAlgn val="ctr"/>
        <c:lblOffset val="100"/>
        <c:noMultiLvlLbl val="0"/>
      </c:catAx>
      <c:valAx>
        <c:axId val="155348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49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 Dashboard.xlsm]Tabelas Dinâmicas!Tabela dinâmica3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'Tabelas Dinâmicas'!$H$3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Dinâmicas'!$G$4:$G$26</c:f>
              <c:strCache>
                <c:ptCount val="22"/>
                <c:pt idx="0">
                  <c:v>Aline Montain</c:v>
                </c:pt>
                <c:pt idx="1">
                  <c:v>Antonio Bertoldo</c:v>
                </c:pt>
                <c:pt idx="2">
                  <c:v>Antonio Carlos</c:v>
                </c:pt>
                <c:pt idx="3">
                  <c:v>Antonio Nunes</c:v>
                </c:pt>
                <c:pt idx="4">
                  <c:v>Carlos Antonio</c:v>
                </c:pt>
                <c:pt idx="5">
                  <c:v>Carlos Costa</c:v>
                </c:pt>
                <c:pt idx="6">
                  <c:v>Claudia Leite</c:v>
                </c:pt>
                <c:pt idx="7">
                  <c:v>Claudia Trombone</c:v>
                </c:pt>
                <c:pt idx="8">
                  <c:v>David Alberto</c:v>
                </c:pt>
                <c:pt idx="9">
                  <c:v>Fernando Luiz</c:v>
                </c:pt>
                <c:pt idx="10">
                  <c:v>Joana Almeida</c:v>
                </c:pt>
                <c:pt idx="11">
                  <c:v>Joana Silva</c:v>
                </c:pt>
                <c:pt idx="12">
                  <c:v>José Viana</c:v>
                </c:pt>
                <c:pt idx="13">
                  <c:v>Juliana Amorim</c:v>
                </c:pt>
                <c:pt idx="14">
                  <c:v>Julio Batista</c:v>
                </c:pt>
                <c:pt idx="15">
                  <c:v>Leticia Santos</c:v>
                </c:pt>
                <c:pt idx="16">
                  <c:v>Lucia Martins</c:v>
                </c:pt>
                <c:pt idx="17">
                  <c:v>Maria Amália</c:v>
                </c:pt>
                <c:pt idx="18">
                  <c:v>Matheus Henrique</c:v>
                </c:pt>
                <c:pt idx="19">
                  <c:v>Patria Poeta</c:v>
                </c:pt>
                <c:pt idx="20">
                  <c:v>Paulo Fernandes</c:v>
                </c:pt>
                <c:pt idx="21">
                  <c:v>Vicente Souza</c:v>
                </c:pt>
              </c:strCache>
            </c:strRef>
          </c:cat>
          <c:val>
            <c:numRef>
              <c:f>'Tabelas Dinâmicas'!$H$4:$H$26</c:f>
              <c:numCache>
                <c:formatCode>General</c:formatCode>
                <c:ptCount val="22"/>
                <c:pt idx="0">
                  <c:v>121171</c:v>
                </c:pt>
                <c:pt idx="1">
                  <c:v>215242</c:v>
                </c:pt>
                <c:pt idx="2">
                  <c:v>57074</c:v>
                </c:pt>
                <c:pt idx="3">
                  <c:v>25854</c:v>
                </c:pt>
                <c:pt idx="4">
                  <c:v>254092</c:v>
                </c:pt>
                <c:pt idx="5">
                  <c:v>23204</c:v>
                </c:pt>
                <c:pt idx="6">
                  <c:v>39198</c:v>
                </c:pt>
                <c:pt idx="7">
                  <c:v>51480</c:v>
                </c:pt>
                <c:pt idx="8">
                  <c:v>100535</c:v>
                </c:pt>
                <c:pt idx="9">
                  <c:v>57032</c:v>
                </c:pt>
                <c:pt idx="10">
                  <c:v>168189</c:v>
                </c:pt>
                <c:pt idx="11">
                  <c:v>424862</c:v>
                </c:pt>
                <c:pt idx="12">
                  <c:v>276642</c:v>
                </c:pt>
                <c:pt idx="13">
                  <c:v>446668</c:v>
                </c:pt>
                <c:pt idx="14">
                  <c:v>126378</c:v>
                </c:pt>
                <c:pt idx="15">
                  <c:v>10000</c:v>
                </c:pt>
                <c:pt idx="16">
                  <c:v>76458</c:v>
                </c:pt>
                <c:pt idx="17">
                  <c:v>269986</c:v>
                </c:pt>
                <c:pt idx="18">
                  <c:v>272425</c:v>
                </c:pt>
                <c:pt idx="19">
                  <c:v>29124</c:v>
                </c:pt>
                <c:pt idx="20">
                  <c:v>17160</c:v>
                </c:pt>
                <c:pt idx="21">
                  <c:v>210475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AB-48AA-9CC3-43CC7EBBA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14594255"/>
        <c:axId val="1714599663"/>
      </c:barChart>
      <c:catAx>
        <c:axId val="17145942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599663"/>
        <c:crosses val="autoZero"/>
        <c:auto val="1"/>
        <c:lblAlgn val="ctr"/>
        <c:lblOffset val="100"/>
        <c:noMultiLvlLbl val="0"/>
      </c:catAx>
      <c:valAx>
        <c:axId val="1714599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14594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 Dashboard.xlsm]Tabelas Dinâmicas!Tabela dinâmica4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265590570329917E-2"/>
          <c:y val="3.7037037037037035E-2"/>
          <c:w val="0.72991890341018095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Dinâmicas'!$K$3:$K$4</c:f>
              <c:strCache>
                <c:ptCount val="1"/>
                <c:pt idx="0">
                  <c:v>Produto 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Dinâmicas'!$J$5:$J$9</c:f>
              <c:strCache>
                <c:ptCount val="4"/>
                <c:pt idx="0">
                  <c:v>MG</c:v>
                </c:pt>
                <c:pt idx="1">
                  <c:v>PR</c:v>
                </c:pt>
                <c:pt idx="2">
                  <c:v>RJ</c:v>
                </c:pt>
                <c:pt idx="3">
                  <c:v>SP</c:v>
                </c:pt>
              </c:strCache>
            </c:strRef>
          </c:cat>
          <c:val>
            <c:numRef>
              <c:f>'Tabelas Dinâmicas'!$K$5:$K$9</c:f>
              <c:numCache>
                <c:formatCode>General</c:formatCode>
                <c:ptCount val="4"/>
                <c:pt idx="0">
                  <c:v>7</c:v>
                </c:pt>
                <c:pt idx="1">
                  <c:v>8</c:v>
                </c:pt>
                <c:pt idx="2">
                  <c:v>6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18-4119-A09D-4E70D8EB81E9}"/>
            </c:ext>
          </c:extLst>
        </c:ser>
        <c:ser>
          <c:idx val="1"/>
          <c:order val="1"/>
          <c:tx>
            <c:strRef>
              <c:f>'Tabelas Dinâmicas'!$L$3:$L$4</c:f>
              <c:strCache>
                <c:ptCount val="1"/>
                <c:pt idx="0">
                  <c:v>Produto 02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Dinâmicas'!$J$5:$J$9</c:f>
              <c:strCache>
                <c:ptCount val="4"/>
                <c:pt idx="0">
                  <c:v>MG</c:v>
                </c:pt>
                <c:pt idx="1">
                  <c:v>PR</c:v>
                </c:pt>
                <c:pt idx="2">
                  <c:v>RJ</c:v>
                </c:pt>
                <c:pt idx="3">
                  <c:v>SP</c:v>
                </c:pt>
              </c:strCache>
            </c:strRef>
          </c:cat>
          <c:val>
            <c:numRef>
              <c:f>'Tabelas Dinâmicas'!$L$5:$L$9</c:f>
              <c:numCache>
                <c:formatCode>General</c:formatCode>
                <c:ptCount val="4"/>
                <c:pt idx="0">
                  <c:v>16</c:v>
                </c:pt>
                <c:pt idx="1">
                  <c:v>7</c:v>
                </c:pt>
                <c:pt idx="2">
                  <c:v>12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18-4119-A09D-4E70D8EB81E9}"/>
            </c:ext>
          </c:extLst>
        </c:ser>
        <c:ser>
          <c:idx val="2"/>
          <c:order val="2"/>
          <c:tx>
            <c:strRef>
              <c:f>'Tabelas Dinâmicas'!$M$3:$M$4</c:f>
              <c:strCache>
                <c:ptCount val="1"/>
                <c:pt idx="0">
                  <c:v>Produto 03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Dinâmicas'!$J$5:$J$9</c:f>
              <c:strCache>
                <c:ptCount val="4"/>
                <c:pt idx="0">
                  <c:v>MG</c:v>
                </c:pt>
                <c:pt idx="1">
                  <c:v>PR</c:v>
                </c:pt>
                <c:pt idx="2">
                  <c:v>RJ</c:v>
                </c:pt>
                <c:pt idx="3">
                  <c:v>SP</c:v>
                </c:pt>
              </c:strCache>
            </c:strRef>
          </c:cat>
          <c:val>
            <c:numRef>
              <c:f>'Tabelas Dinâmicas'!$M$5:$M$9</c:f>
              <c:numCache>
                <c:formatCode>General</c:formatCode>
                <c:ptCount val="4"/>
                <c:pt idx="0">
                  <c:v>6</c:v>
                </c:pt>
                <c:pt idx="1">
                  <c:v>15</c:v>
                </c:pt>
                <c:pt idx="2">
                  <c:v>11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A18-4119-A09D-4E70D8EB81E9}"/>
            </c:ext>
          </c:extLst>
        </c:ser>
        <c:ser>
          <c:idx val="3"/>
          <c:order val="3"/>
          <c:tx>
            <c:strRef>
              <c:f>'Tabelas Dinâmicas'!$N$3:$N$4</c:f>
              <c:strCache>
                <c:ptCount val="1"/>
                <c:pt idx="0">
                  <c:v>Produto 04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Dinâmicas'!$J$5:$J$9</c:f>
              <c:strCache>
                <c:ptCount val="4"/>
                <c:pt idx="0">
                  <c:v>MG</c:v>
                </c:pt>
                <c:pt idx="1">
                  <c:v>PR</c:v>
                </c:pt>
                <c:pt idx="2">
                  <c:v>RJ</c:v>
                </c:pt>
                <c:pt idx="3">
                  <c:v>SP</c:v>
                </c:pt>
              </c:strCache>
            </c:strRef>
          </c:cat>
          <c:val>
            <c:numRef>
              <c:f>'Tabelas Dinâmicas'!$N$5:$N$9</c:f>
              <c:numCache>
                <c:formatCode>General</c:formatCode>
                <c:ptCount val="4"/>
                <c:pt idx="0">
                  <c:v>6</c:v>
                </c:pt>
                <c:pt idx="1">
                  <c:v>8</c:v>
                </c:pt>
                <c:pt idx="2">
                  <c:v>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A18-4119-A09D-4E70D8EB81E9}"/>
            </c:ext>
          </c:extLst>
        </c:ser>
        <c:ser>
          <c:idx val="4"/>
          <c:order val="4"/>
          <c:tx>
            <c:strRef>
              <c:f>'Tabelas Dinâmicas'!$O$3:$O$4</c:f>
              <c:strCache>
                <c:ptCount val="1"/>
                <c:pt idx="0">
                  <c:v>Produto 05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Dinâmicas'!$J$5:$J$9</c:f>
              <c:strCache>
                <c:ptCount val="4"/>
                <c:pt idx="0">
                  <c:v>MG</c:v>
                </c:pt>
                <c:pt idx="1">
                  <c:v>PR</c:v>
                </c:pt>
                <c:pt idx="2">
                  <c:v>RJ</c:v>
                </c:pt>
                <c:pt idx="3">
                  <c:v>SP</c:v>
                </c:pt>
              </c:strCache>
            </c:strRef>
          </c:cat>
          <c:val>
            <c:numRef>
              <c:f>'Tabelas Dinâmicas'!$O$5:$O$9</c:f>
              <c:numCache>
                <c:formatCode>General</c:formatCode>
                <c:ptCount val="4"/>
                <c:pt idx="0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18-4119-A09D-4E70D8EB81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94519727"/>
        <c:axId val="1594528463"/>
      </c:barChart>
      <c:catAx>
        <c:axId val="1594519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4528463"/>
        <c:crosses val="autoZero"/>
        <c:auto val="1"/>
        <c:lblAlgn val="ctr"/>
        <c:lblOffset val="100"/>
        <c:noMultiLvlLbl val="0"/>
      </c:catAx>
      <c:valAx>
        <c:axId val="1594528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4519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95729628241584"/>
          <c:y val="0.14227576081801391"/>
          <c:w val="0.21504263325705622"/>
          <c:h val="0.42149504118720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180975</xdr:rowOff>
    </xdr:from>
    <xdr:to>
      <xdr:col>13</xdr:col>
      <xdr:colOff>590550</xdr:colOff>
      <xdr:row>31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A84D34-A721-435D-8143-FFAD43D35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60</xdr:row>
      <xdr:rowOff>177015</xdr:rowOff>
    </xdr:from>
    <xdr:to>
      <xdr:col>6</xdr:col>
      <xdr:colOff>571500</xdr:colOff>
      <xdr:row>77</xdr:row>
      <xdr:rowOff>40820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36D23C6-2288-42B8-A2A9-7F7BF1CF5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</xdr:colOff>
      <xdr:row>32</xdr:row>
      <xdr:rowOff>146956</xdr:rowOff>
    </xdr:from>
    <xdr:to>
      <xdr:col>14</xdr:col>
      <xdr:colOff>1</xdr:colOff>
      <xdr:row>59</xdr:row>
      <xdr:rowOff>27214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E562E3C-A550-4EF1-A6E7-B6DB94270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557522</xdr:colOff>
      <xdr:row>60</xdr:row>
      <xdr:rowOff>176768</xdr:rowOff>
    </xdr:from>
    <xdr:to>
      <xdr:col>14</xdr:col>
      <xdr:colOff>13607</xdr:colOff>
      <xdr:row>77</xdr:row>
      <xdr:rowOff>27213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264421E-F845-4236-8986-63D89482C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3</xdr:row>
      <xdr:rowOff>88280</xdr:rowOff>
    </xdr:from>
    <xdr:to>
      <xdr:col>2</xdr:col>
      <xdr:colOff>604157</xdr:colOff>
      <xdr:row>9</xdr:row>
      <xdr:rowOff>543007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Produto">
              <a:extLst>
                <a:ext uri="{FF2B5EF4-FFF2-40B4-BE49-F238E27FC236}">
                  <a16:creationId xmlns:a16="http://schemas.microsoft.com/office/drawing/2014/main" id="{CFC43653-F9F2-9181-FF78-EEFED93AC5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59780"/>
              <a:ext cx="1828800" cy="1502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4482</xdr:colOff>
      <xdr:row>3</xdr:row>
      <xdr:rowOff>97572</xdr:rowOff>
    </xdr:from>
    <xdr:to>
      <xdr:col>5</xdr:col>
      <xdr:colOff>601436</xdr:colOff>
      <xdr:row>9</xdr:row>
      <xdr:rowOff>552299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Filial">
              <a:extLst>
                <a:ext uri="{FF2B5EF4-FFF2-40B4-BE49-F238E27FC236}">
                  <a16:creationId xmlns:a16="http://schemas.microsoft.com/office/drawing/2014/main" id="{B9511690-02FA-FB43-8311-4B1BD27DFC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ia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446" y="669072"/>
              <a:ext cx="1821597" cy="1502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582386</xdr:colOff>
      <xdr:row>3</xdr:row>
      <xdr:rowOff>81642</xdr:rowOff>
    </xdr:from>
    <xdr:to>
      <xdr:col>10</xdr:col>
      <xdr:colOff>217715</xdr:colOff>
      <xdr:row>9</xdr:row>
      <xdr:rowOff>536369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Anúncio responsavel">
              <a:extLst>
                <a:ext uri="{FF2B5EF4-FFF2-40B4-BE49-F238E27FC236}">
                  <a16:creationId xmlns:a16="http://schemas.microsoft.com/office/drawing/2014/main" id="{18ED5A32-84DE-F7DA-D4FF-06AE14EB38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úncio responsave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3993" y="653142"/>
              <a:ext cx="2696936" cy="1502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221875</xdr:colOff>
      <xdr:row>3</xdr:row>
      <xdr:rowOff>82597</xdr:rowOff>
    </xdr:from>
    <xdr:to>
      <xdr:col>13</xdr:col>
      <xdr:colOff>608669</xdr:colOff>
      <xdr:row>9</xdr:row>
      <xdr:rowOff>537324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Cliente">
              <a:extLst>
                <a:ext uri="{FF2B5EF4-FFF2-40B4-BE49-F238E27FC236}">
                  <a16:creationId xmlns:a16="http://schemas.microsoft.com/office/drawing/2014/main" id="{0D9F8BA4-A7EA-5E65-BE09-9B54A70AC1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45089" y="654097"/>
              <a:ext cx="2223759" cy="1502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9</xdr:row>
      <xdr:rowOff>463262</xdr:rowOff>
    </xdr:from>
    <xdr:to>
      <xdr:col>14</xdr:col>
      <xdr:colOff>17317</xdr:colOff>
      <xdr:row>14</xdr:row>
      <xdr:rowOff>68407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0" name="Data da Venda">
              <a:extLst>
                <a:ext uri="{FF2B5EF4-FFF2-40B4-BE49-F238E27FC236}">
                  <a16:creationId xmlns:a16="http://schemas.microsoft.com/office/drawing/2014/main" id="{59254C1A-8FF4-0AB9-85B9-3A32D49358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 da Vend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82512"/>
              <a:ext cx="8589817" cy="13604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11</xdr:col>
      <xdr:colOff>438150</xdr:colOff>
      <xdr:row>0</xdr:row>
      <xdr:rowOff>85725</xdr:rowOff>
    </xdr:from>
    <xdr:to>
      <xdr:col>13</xdr:col>
      <xdr:colOff>438151</xdr:colOff>
      <xdr:row>2</xdr:row>
      <xdr:rowOff>142875</xdr:rowOff>
    </xdr:to>
    <xdr:sp macro="[0]!Atualizar" textlink="">
      <xdr:nvSpPr>
        <xdr:cNvPr id="11" name="Retângulo 10">
          <a:extLst>
            <a:ext uri="{FF2B5EF4-FFF2-40B4-BE49-F238E27FC236}">
              <a16:creationId xmlns:a16="http://schemas.microsoft.com/office/drawing/2014/main" id="{93AC2CD4-84B4-5432-D3AB-3E90CEF051DF}"/>
            </a:ext>
          </a:extLst>
        </xdr:cNvPr>
        <xdr:cNvSpPr/>
      </xdr:nvSpPr>
      <xdr:spPr>
        <a:xfrm>
          <a:off x="7143750" y="85725"/>
          <a:ext cx="1219201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 Dados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os-Professor" refreshedDate="44826.868074999998" createdVersion="8" refreshedVersion="8" minRefreshableVersion="3" recordCount="137" xr:uid="{D4548B03-7F8F-4F83-95A2-81CBFCA3EECE}">
  <cacheSource type="worksheet">
    <worksheetSource name="Tabela1"/>
  </cacheSource>
  <cacheFields count="8">
    <cacheField name="Cliente" numFmtId="0">
      <sharedItems count="5">
        <s v="Mallay"/>
        <s v="Martins Ocre"/>
        <s v="JVR Máquinas"/>
        <s v="ABC Consultoria"/>
        <s v="Empresa ABC"/>
      </sharedItems>
    </cacheField>
    <cacheField name="Produto" numFmtId="0">
      <sharedItems count="6">
        <s v="Produto 02"/>
        <s v="Produto 04"/>
        <s v="Produto 01"/>
        <s v="Produto 03"/>
        <s v="Produto 05"/>
        <s v="Produto 06" u="1"/>
      </sharedItems>
    </cacheField>
    <cacheField name="Vendedor" numFmtId="0">
      <sharedItems count="22">
        <s v="Vicente Souza"/>
        <s v="José Viana"/>
        <s v="Juliana Amorim"/>
        <s v="Julio Batista"/>
        <s v="Joana Silva"/>
        <s v="Joana Almeida"/>
        <s v="David Alberto"/>
        <s v="Antonio Bertoldo"/>
        <s v="Maria Amália"/>
        <s v="Carlos Antonio"/>
        <s v="Matheus Henrique"/>
        <s v="Aline Montain"/>
        <s v="Antonio Carlos"/>
        <s v="Fernando Luiz"/>
        <s v="Lucia Martins"/>
        <s v="Carlos Costa"/>
        <s v="Claudia Trombone"/>
        <s v="Paulo Fernandes"/>
        <s v="Claudia Leite"/>
        <s v="Leticia Santos"/>
        <s v="Patria Poeta"/>
        <s v="Antonio Nunes"/>
      </sharedItems>
    </cacheField>
    <cacheField name="Filial" numFmtId="0">
      <sharedItems count="4">
        <s v="RJ"/>
        <s v="PR"/>
        <s v="MG"/>
        <s v="SP"/>
      </sharedItems>
    </cacheField>
    <cacheField name="Data da Venda" numFmtId="14">
      <sharedItems containsSemiMixedTypes="0" containsNonDate="0" containsDate="1" containsString="0" minDate="2015-01-13T00:00:00" maxDate="2017-01-02T00:00:00" count="100">
        <d v="2016-04-25T00:00:00"/>
        <d v="2016-05-14T00:00:00"/>
        <d v="2016-06-08T00:00:00"/>
        <d v="2016-08-13T00:00:00"/>
        <d v="2015-07-16T00:00:00"/>
        <d v="2016-12-21T00:00:00"/>
        <d v="2016-08-04T00:00:00"/>
        <d v="2015-09-16T00:00:00"/>
        <d v="2016-04-17T00:00:00"/>
        <d v="2015-09-13T00:00:00"/>
        <d v="2016-02-05T00:00:00"/>
        <d v="2015-08-01T00:00:00"/>
        <d v="2016-11-03T00:00:00"/>
        <d v="2015-04-07T00:00:00"/>
        <d v="2015-10-27T00:00:00"/>
        <d v="2016-11-09T00:00:00"/>
        <d v="2015-12-19T00:00:00"/>
        <d v="2015-12-10T00:00:00"/>
        <d v="2015-11-29T00:00:00"/>
        <d v="2016-05-08T00:00:00"/>
        <d v="2015-07-19T00:00:00"/>
        <d v="2016-07-25T00:00:00"/>
        <d v="2015-02-12T00:00:00"/>
        <d v="2016-08-29T00:00:00"/>
        <d v="2016-02-06T00:00:00"/>
        <d v="2016-12-14T00:00:00"/>
        <d v="2015-09-25T00:00:00"/>
        <d v="2015-12-30T00:00:00"/>
        <d v="2015-12-29T00:00:00"/>
        <d v="2015-03-15T00:00:00"/>
        <d v="2016-06-07T00:00:00"/>
        <d v="2015-09-17T00:00:00"/>
        <d v="2015-02-06T00:00:00"/>
        <d v="2015-10-11T00:00:00"/>
        <d v="2016-05-27T00:00:00"/>
        <d v="2015-03-29T00:00:00"/>
        <d v="2015-06-21T00:00:00"/>
        <d v="2015-12-03T00:00:00"/>
        <d v="2015-12-04T00:00:00"/>
        <d v="2016-08-24T00:00:00"/>
        <d v="2016-08-02T00:00:00"/>
        <d v="2015-07-21T00:00:00"/>
        <d v="2016-12-19T00:00:00"/>
        <d v="2015-10-21T00:00:00"/>
        <d v="2016-08-30T00:00:00"/>
        <d v="2015-10-19T00:00:00"/>
        <d v="2017-01-01T00:00:00"/>
        <d v="2016-01-28T00:00:00"/>
        <d v="2016-08-21T00:00:00"/>
        <d v="2015-06-14T00:00:00"/>
        <d v="2015-11-08T00:00:00"/>
        <d v="2016-11-17T00:00:00"/>
        <d v="2016-06-14T00:00:00"/>
        <d v="2015-10-07T00:00:00"/>
        <d v="2016-09-25T00:00:00"/>
        <d v="2016-04-05T00:00:00"/>
        <d v="2016-04-02T00:00:00"/>
        <d v="2016-12-20T00:00:00"/>
        <d v="2015-01-21T00:00:00"/>
        <d v="2015-09-03T00:00:00"/>
        <d v="2016-03-03T00:00:00"/>
        <d v="2015-10-28T00:00:00"/>
        <d v="2016-06-18T00:00:00"/>
        <d v="2016-06-15T00:00:00"/>
        <d v="2015-08-17T00:00:00"/>
        <d v="2015-01-13T00:00:00"/>
        <d v="2016-06-01T00:00:00"/>
        <d v="2015-01-28T00:00:00"/>
        <d v="2016-10-02T00:00:00"/>
        <d v="2015-11-04T00:00:00"/>
        <d v="2016-10-19T00:00:00"/>
        <d v="2015-10-03T00:00:00"/>
        <d v="2015-10-18T00:00:00"/>
        <d v="2015-08-05T00:00:00"/>
        <d v="2016-12-22T00:00:00"/>
        <d v="2015-07-23T00:00:00"/>
        <d v="2015-03-27T00:00:00"/>
        <d v="2015-06-19T00:00:00"/>
        <d v="2016-10-03T00:00:00"/>
        <d v="2016-04-09T00:00:00"/>
        <d v="2016-03-15T00:00:00"/>
        <d v="2016-11-23T00:00:00"/>
        <d v="2015-04-17T00:00:00"/>
        <d v="2015-03-09T00:00:00"/>
        <d v="2015-10-06T00:00:00"/>
        <d v="2015-06-23T00:00:00"/>
        <d v="2016-12-17T00:00:00"/>
        <d v="2016-09-01T00:00:00"/>
        <d v="2016-02-18T00:00:00"/>
        <d v="2015-05-02T00:00:00"/>
        <d v="2016-05-18T00:00:00"/>
        <d v="2016-07-09T00:00:00"/>
        <d v="2016-09-20T00:00:00"/>
        <d v="2015-12-12T00:00:00"/>
        <d v="2016-04-01T00:00:00"/>
        <d v="2015-03-08T00:00:00"/>
        <d v="2015-05-31T00:00:00"/>
        <d v="2015-07-18T00:00:00"/>
        <d v="2016-08-14T00:00:00"/>
        <d v="2016-03-16T00:00:00"/>
      </sharedItems>
    </cacheField>
    <cacheField name="Valor" numFmtId="44">
      <sharedItems containsSemiMixedTypes="0" containsString="0" containsNumber="1" containsInteger="1" minValue="2000" maxValue="43622"/>
    </cacheField>
    <cacheField name="Mês da Venda" numFmtId="0">
      <sharedItems/>
    </cacheField>
    <cacheField name="Anúncio responsavel" numFmtId="0">
      <sharedItems count="8">
        <s v="E-mail Marketing"/>
        <s v="TV - Bandeirantes"/>
        <s v="Facebook Ads"/>
        <s v="TV - Globo"/>
        <s v="Bing Ads"/>
        <s v="Google Adwords"/>
        <s v="Rádio CBN"/>
        <s v="TV - SBT"/>
      </sharedItems>
    </cacheField>
  </cacheFields>
  <extLst>
    <ext xmlns:x14="http://schemas.microsoft.com/office/spreadsheetml/2009/9/main" uri="{725AE2AE-9491-48be-B2B4-4EB974FC3084}">
      <x14:pivotCacheDefinition pivotCacheId="57487316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">
  <r>
    <x v="0"/>
    <x v="0"/>
    <x v="0"/>
    <x v="0"/>
    <x v="0"/>
    <n v="43622"/>
    <s v="Abril"/>
    <x v="0"/>
  </r>
  <r>
    <x v="1"/>
    <x v="1"/>
    <x v="1"/>
    <x v="1"/>
    <x v="1"/>
    <n v="43597"/>
    <s v="Maio"/>
    <x v="1"/>
  </r>
  <r>
    <x v="2"/>
    <x v="1"/>
    <x v="1"/>
    <x v="1"/>
    <x v="2"/>
    <n v="43467"/>
    <s v="Junho"/>
    <x v="1"/>
  </r>
  <r>
    <x v="1"/>
    <x v="1"/>
    <x v="1"/>
    <x v="1"/>
    <x v="3"/>
    <n v="42779"/>
    <s v="Agosto"/>
    <x v="2"/>
  </r>
  <r>
    <x v="3"/>
    <x v="0"/>
    <x v="2"/>
    <x v="2"/>
    <x v="4"/>
    <n v="42126"/>
    <s v="Julho"/>
    <x v="0"/>
  </r>
  <r>
    <x v="3"/>
    <x v="0"/>
    <x v="3"/>
    <x v="2"/>
    <x v="4"/>
    <n v="42126"/>
    <s v="Julho"/>
    <x v="0"/>
  </r>
  <r>
    <x v="3"/>
    <x v="0"/>
    <x v="3"/>
    <x v="2"/>
    <x v="4"/>
    <n v="42126"/>
    <s v="Julho"/>
    <x v="0"/>
  </r>
  <r>
    <x v="3"/>
    <x v="0"/>
    <x v="3"/>
    <x v="2"/>
    <x v="4"/>
    <n v="42126"/>
    <s v="Julho"/>
    <x v="0"/>
  </r>
  <r>
    <x v="3"/>
    <x v="2"/>
    <x v="1"/>
    <x v="1"/>
    <x v="5"/>
    <n v="2000"/>
    <s v="Dezembro"/>
    <x v="3"/>
  </r>
  <r>
    <x v="4"/>
    <x v="3"/>
    <x v="4"/>
    <x v="2"/>
    <x v="6"/>
    <n v="41264"/>
    <s v="Agosto"/>
    <x v="4"/>
  </r>
  <r>
    <x v="1"/>
    <x v="3"/>
    <x v="2"/>
    <x v="2"/>
    <x v="7"/>
    <n v="40983"/>
    <s v="Setembro"/>
    <x v="2"/>
  </r>
  <r>
    <x v="3"/>
    <x v="2"/>
    <x v="1"/>
    <x v="1"/>
    <x v="8"/>
    <n v="40768"/>
    <s v="Abril"/>
    <x v="5"/>
  </r>
  <r>
    <x v="4"/>
    <x v="3"/>
    <x v="0"/>
    <x v="0"/>
    <x v="9"/>
    <n v="40341"/>
    <s v="Setembro"/>
    <x v="5"/>
  </r>
  <r>
    <x v="3"/>
    <x v="3"/>
    <x v="5"/>
    <x v="3"/>
    <x v="10"/>
    <n v="40208"/>
    <s v="Fevereiro"/>
    <x v="6"/>
  </r>
  <r>
    <x v="0"/>
    <x v="2"/>
    <x v="6"/>
    <x v="0"/>
    <x v="11"/>
    <n v="39783"/>
    <s v="Agosto"/>
    <x v="3"/>
  </r>
  <r>
    <x v="3"/>
    <x v="2"/>
    <x v="7"/>
    <x v="3"/>
    <x v="12"/>
    <n v="39520"/>
    <s v="Novembro"/>
    <x v="4"/>
  </r>
  <r>
    <x v="4"/>
    <x v="0"/>
    <x v="8"/>
    <x v="3"/>
    <x v="13"/>
    <n v="39508"/>
    <s v="Abril"/>
    <x v="6"/>
  </r>
  <r>
    <x v="4"/>
    <x v="4"/>
    <x v="4"/>
    <x v="2"/>
    <x v="14"/>
    <n v="39307"/>
    <s v="Outubro"/>
    <x v="7"/>
  </r>
  <r>
    <x v="3"/>
    <x v="2"/>
    <x v="7"/>
    <x v="3"/>
    <x v="15"/>
    <n v="39232"/>
    <s v="Novembro"/>
    <x v="0"/>
  </r>
  <r>
    <x v="0"/>
    <x v="4"/>
    <x v="0"/>
    <x v="0"/>
    <x v="16"/>
    <n v="38470"/>
    <s v="Dezembro"/>
    <x v="5"/>
  </r>
  <r>
    <x v="4"/>
    <x v="0"/>
    <x v="2"/>
    <x v="2"/>
    <x v="17"/>
    <n v="38346"/>
    <s v="Dezembro"/>
    <x v="1"/>
  </r>
  <r>
    <x v="1"/>
    <x v="2"/>
    <x v="9"/>
    <x v="1"/>
    <x v="18"/>
    <n v="38310"/>
    <s v="Novembro"/>
    <x v="1"/>
  </r>
  <r>
    <x v="1"/>
    <x v="3"/>
    <x v="10"/>
    <x v="0"/>
    <x v="19"/>
    <n v="37801"/>
    <s v="Maio"/>
    <x v="7"/>
  </r>
  <r>
    <x v="4"/>
    <x v="3"/>
    <x v="2"/>
    <x v="2"/>
    <x v="20"/>
    <n v="37790"/>
    <s v="Julho"/>
    <x v="4"/>
  </r>
  <r>
    <x v="4"/>
    <x v="3"/>
    <x v="10"/>
    <x v="0"/>
    <x v="21"/>
    <n v="37597"/>
    <s v="Julho"/>
    <x v="0"/>
  </r>
  <r>
    <x v="4"/>
    <x v="3"/>
    <x v="2"/>
    <x v="2"/>
    <x v="22"/>
    <n v="37529"/>
    <s v="Fevereiro"/>
    <x v="6"/>
  </r>
  <r>
    <x v="4"/>
    <x v="4"/>
    <x v="8"/>
    <x v="3"/>
    <x v="23"/>
    <n v="37006"/>
    <s v="Agosto"/>
    <x v="0"/>
  </r>
  <r>
    <x v="0"/>
    <x v="2"/>
    <x v="11"/>
    <x v="0"/>
    <x v="10"/>
    <n v="36955"/>
    <s v="Fevereiro"/>
    <x v="0"/>
  </r>
  <r>
    <x v="3"/>
    <x v="4"/>
    <x v="4"/>
    <x v="2"/>
    <x v="24"/>
    <n v="36375"/>
    <s v="Fevereiro"/>
    <x v="7"/>
  </r>
  <r>
    <x v="4"/>
    <x v="2"/>
    <x v="9"/>
    <x v="1"/>
    <x v="25"/>
    <n v="5000"/>
    <s v="Dezembro"/>
    <x v="7"/>
  </r>
  <r>
    <x v="3"/>
    <x v="1"/>
    <x v="1"/>
    <x v="1"/>
    <x v="26"/>
    <n v="36234"/>
    <s v="Setembro"/>
    <x v="0"/>
  </r>
  <r>
    <x v="1"/>
    <x v="2"/>
    <x v="4"/>
    <x v="2"/>
    <x v="27"/>
    <n v="36154"/>
    <s v="Dezembro"/>
    <x v="7"/>
  </r>
  <r>
    <x v="4"/>
    <x v="1"/>
    <x v="8"/>
    <x v="3"/>
    <x v="28"/>
    <n v="36082"/>
    <s v="Dezembro"/>
    <x v="4"/>
  </r>
  <r>
    <x v="4"/>
    <x v="3"/>
    <x v="0"/>
    <x v="0"/>
    <x v="29"/>
    <n v="35960"/>
    <s v="Março"/>
    <x v="3"/>
  </r>
  <r>
    <x v="4"/>
    <x v="3"/>
    <x v="7"/>
    <x v="3"/>
    <x v="30"/>
    <n v="35787"/>
    <s v="Junho"/>
    <x v="0"/>
  </r>
  <r>
    <x v="4"/>
    <x v="2"/>
    <x v="2"/>
    <x v="2"/>
    <x v="31"/>
    <n v="35185"/>
    <s v="Setembro"/>
    <x v="6"/>
  </r>
  <r>
    <x v="3"/>
    <x v="2"/>
    <x v="10"/>
    <x v="0"/>
    <x v="32"/>
    <n v="35138"/>
    <s v="Fevereiro"/>
    <x v="5"/>
  </r>
  <r>
    <x v="4"/>
    <x v="2"/>
    <x v="8"/>
    <x v="3"/>
    <x v="33"/>
    <n v="34581"/>
    <s v="Outubro"/>
    <x v="0"/>
  </r>
  <r>
    <x v="4"/>
    <x v="0"/>
    <x v="11"/>
    <x v="0"/>
    <x v="34"/>
    <n v="34459"/>
    <s v="Maio"/>
    <x v="7"/>
  </r>
  <r>
    <x v="3"/>
    <x v="1"/>
    <x v="4"/>
    <x v="2"/>
    <x v="35"/>
    <n v="33627"/>
    <s v="Março"/>
    <x v="0"/>
  </r>
  <r>
    <x v="1"/>
    <x v="0"/>
    <x v="8"/>
    <x v="3"/>
    <x v="36"/>
    <n v="33575"/>
    <s v="Junho"/>
    <x v="0"/>
  </r>
  <r>
    <x v="1"/>
    <x v="2"/>
    <x v="2"/>
    <x v="2"/>
    <x v="37"/>
    <n v="32441"/>
    <s v="Dezembro"/>
    <x v="0"/>
  </r>
  <r>
    <x v="4"/>
    <x v="3"/>
    <x v="2"/>
    <x v="2"/>
    <x v="38"/>
    <n v="30848"/>
    <s v="Dezembro"/>
    <x v="7"/>
  </r>
  <r>
    <x v="2"/>
    <x v="0"/>
    <x v="7"/>
    <x v="3"/>
    <x v="39"/>
    <n v="30791"/>
    <s v="Agosto"/>
    <x v="2"/>
  </r>
  <r>
    <x v="4"/>
    <x v="2"/>
    <x v="5"/>
    <x v="3"/>
    <x v="40"/>
    <n v="29998"/>
    <s v="Agosto"/>
    <x v="0"/>
  </r>
  <r>
    <x v="1"/>
    <x v="1"/>
    <x v="1"/>
    <x v="1"/>
    <x v="41"/>
    <n v="29305"/>
    <s v="Julho"/>
    <x v="0"/>
  </r>
  <r>
    <x v="3"/>
    <x v="0"/>
    <x v="2"/>
    <x v="2"/>
    <x v="42"/>
    <n v="10000"/>
    <s v="Dezembro"/>
    <x v="3"/>
  </r>
  <r>
    <x v="1"/>
    <x v="3"/>
    <x v="9"/>
    <x v="1"/>
    <x v="43"/>
    <n v="28650"/>
    <s v="Outubro"/>
    <x v="6"/>
  </r>
  <r>
    <x v="3"/>
    <x v="0"/>
    <x v="4"/>
    <x v="2"/>
    <x v="44"/>
    <n v="28563"/>
    <s v="Agosto"/>
    <x v="3"/>
  </r>
  <r>
    <x v="1"/>
    <x v="2"/>
    <x v="9"/>
    <x v="1"/>
    <x v="45"/>
    <n v="28537"/>
    <s v="Outubro"/>
    <x v="0"/>
  </r>
  <r>
    <x v="1"/>
    <x v="2"/>
    <x v="12"/>
    <x v="1"/>
    <x v="46"/>
    <n v="28537"/>
    <s v="Janeiro"/>
    <x v="0"/>
  </r>
  <r>
    <x v="1"/>
    <x v="2"/>
    <x v="12"/>
    <x v="1"/>
    <x v="46"/>
    <n v="28537"/>
    <s v="Janeiro"/>
    <x v="0"/>
  </r>
  <r>
    <x v="4"/>
    <x v="2"/>
    <x v="2"/>
    <x v="2"/>
    <x v="4"/>
    <n v="28516"/>
    <s v="Julho"/>
    <x v="4"/>
  </r>
  <r>
    <x v="4"/>
    <x v="2"/>
    <x v="13"/>
    <x v="2"/>
    <x v="46"/>
    <n v="28516"/>
    <s v="Janeiro"/>
    <x v="4"/>
  </r>
  <r>
    <x v="4"/>
    <x v="2"/>
    <x v="13"/>
    <x v="2"/>
    <x v="46"/>
    <n v="28516"/>
    <s v="Janeiro"/>
    <x v="4"/>
  </r>
  <r>
    <x v="1"/>
    <x v="0"/>
    <x v="2"/>
    <x v="2"/>
    <x v="47"/>
    <n v="28472"/>
    <s v="Janeiro"/>
    <x v="1"/>
  </r>
  <r>
    <x v="4"/>
    <x v="3"/>
    <x v="4"/>
    <x v="2"/>
    <x v="48"/>
    <n v="28232"/>
    <s v="Agosto"/>
    <x v="7"/>
  </r>
  <r>
    <x v="0"/>
    <x v="0"/>
    <x v="0"/>
    <x v="0"/>
    <x v="49"/>
    <n v="28208"/>
    <s v="Junho"/>
    <x v="5"/>
  </r>
  <r>
    <x v="4"/>
    <x v="1"/>
    <x v="4"/>
    <x v="2"/>
    <x v="50"/>
    <n v="26462"/>
    <s v="Novembro"/>
    <x v="6"/>
  </r>
  <r>
    <x v="1"/>
    <x v="0"/>
    <x v="10"/>
    <x v="0"/>
    <x v="51"/>
    <n v="26442"/>
    <s v="Novembro"/>
    <x v="7"/>
  </r>
  <r>
    <x v="3"/>
    <x v="0"/>
    <x v="4"/>
    <x v="2"/>
    <x v="52"/>
    <n v="26130"/>
    <s v="Junho"/>
    <x v="0"/>
  </r>
  <r>
    <x v="1"/>
    <x v="1"/>
    <x v="4"/>
    <x v="2"/>
    <x v="53"/>
    <n v="25885"/>
    <s v="Outubro"/>
    <x v="4"/>
  </r>
  <r>
    <x v="1"/>
    <x v="1"/>
    <x v="8"/>
    <x v="3"/>
    <x v="54"/>
    <n v="25641"/>
    <s v="Setembro"/>
    <x v="0"/>
  </r>
  <r>
    <x v="1"/>
    <x v="0"/>
    <x v="10"/>
    <x v="0"/>
    <x v="55"/>
    <n v="25486"/>
    <s v="Abril"/>
    <x v="6"/>
  </r>
  <r>
    <x v="1"/>
    <x v="0"/>
    <x v="10"/>
    <x v="0"/>
    <x v="46"/>
    <n v="25486"/>
    <s v="Janeiro"/>
    <x v="6"/>
  </r>
  <r>
    <x v="1"/>
    <x v="0"/>
    <x v="14"/>
    <x v="0"/>
    <x v="46"/>
    <n v="25486"/>
    <s v="Janeiro"/>
    <x v="6"/>
  </r>
  <r>
    <x v="1"/>
    <x v="0"/>
    <x v="14"/>
    <x v="0"/>
    <x v="46"/>
    <n v="25486"/>
    <s v="Janeiro"/>
    <x v="6"/>
  </r>
  <r>
    <x v="1"/>
    <x v="0"/>
    <x v="14"/>
    <x v="0"/>
    <x v="46"/>
    <n v="25486"/>
    <s v="Janeiro"/>
    <x v="6"/>
  </r>
  <r>
    <x v="1"/>
    <x v="3"/>
    <x v="9"/>
    <x v="1"/>
    <x v="56"/>
    <n v="24987"/>
    <s v="Abril"/>
    <x v="1"/>
  </r>
  <r>
    <x v="3"/>
    <x v="1"/>
    <x v="1"/>
    <x v="1"/>
    <x v="57"/>
    <n v="5000"/>
    <s v="Dezembro"/>
    <x v="3"/>
  </r>
  <r>
    <x v="2"/>
    <x v="3"/>
    <x v="5"/>
    <x v="3"/>
    <x v="58"/>
    <n v="24094"/>
    <s v="Janeiro"/>
    <x v="0"/>
  </r>
  <r>
    <x v="3"/>
    <x v="2"/>
    <x v="6"/>
    <x v="0"/>
    <x v="59"/>
    <n v="24050"/>
    <s v="Setembro"/>
    <x v="6"/>
  </r>
  <r>
    <x v="1"/>
    <x v="0"/>
    <x v="2"/>
    <x v="2"/>
    <x v="60"/>
    <n v="24024"/>
    <s v="Março"/>
    <x v="2"/>
  </r>
  <r>
    <x v="4"/>
    <x v="0"/>
    <x v="8"/>
    <x v="3"/>
    <x v="61"/>
    <n v="23921"/>
    <s v="Outubro"/>
    <x v="4"/>
  </r>
  <r>
    <x v="0"/>
    <x v="1"/>
    <x v="0"/>
    <x v="0"/>
    <x v="62"/>
    <n v="23874"/>
    <s v="Junho"/>
    <x v="3"/>
  </r>
  <r>
    <x v="1"/>
    <x v="3"/>
    <x v="10"/>
    <x v="0"/>
    <x v="63"/>
    <n v="23204"/>
    <s v="Junho"/>
    <x v="4"/>
  </r>
  <r>
    <x v="1"/>
    <x v="3"/>
    <x v="15"/>
    <x v="0"/>
    <x v="46"/>
    <n v="23204"/>
    <s v="Janeiro"/>
    <x v="4"/>
  </r>
  <r>
    <x v="4"/>
    <x v="2"/>
    <x v="2"/>
    <x v="2"/>
    <x v="64"/>
    <n v="22622"/>
    <s v="Agosto"/>
    <x v="4"/>
  </r>
  <r>
    <x v="4"/>
    <x v="0"/>
    <x v="6"/>
    <x v="0"/>
    <x v="65"/>
    <n v="22094"/>
    <s v="Janeiro"/>
    <x v="5"/>
  </r>
  <r>
    <x v="0"/>
    <x v="3"/>
    <x v="10"/>
    <x v="0"/>
    <x v="66"/>
    <n v="21247"/>
    <s v="Junho"/>
    <x v="5"/>
  </r>
  <r>
    <x v="4"/>
    <x v="0"/>
    <x v="2"/>
    <x v="2"/>
    <x v="67"/>
    <n v="20781"/>
    <s v="Janeiro"/>
    <x v="3"/>
  </r>
  <r>
    <x v="1"/>
    <x v="0"/>
    <x v="8"/>
    <x v="3"/>
    <x v="68"/>
    <n v="20160"/>
    <s v="Outubro"/>
    <x v="1"/>
  </r>
  <r>
    <x v="4"/>
    <x v="0"/>
    <x v="7"/>
    <x v="3"/>
    <x v="69"/>
    <n v="19796"/>
    <s v="Novembro"/>
    <x v="2"/>
  </r>
  <r>
    <x v="2"/>
    <x v="3"/>
    <x v="11"/>
    <x v="0"/>
    <x v="70"/>
    <n v="19737"/>
    <s v="Outubro"/>
    <x v="1"/>
  </r>
  <r>
    <x v="4"/>
    <x v="0"/>
    <x v="4"/>
    <x v="2"/>
    <x v="71"/>
    <n v="19625"/>
    <s v="Outubro"/>
    <x v="0"/>
  </r>
  <r>
    <x v="4"/>
    <x v="1"/>
    <x v="5"/>
    <x v="3"/>
    <x v="72"/>
    <n v="19502"/>
    <s v="Outubro"/>
    <x v="2"/>
  </r>
  <r>
    <x v="3"/>
    <x v="0"/>
    <x v="4"/>
    <x v="2"/>
    <x v="73"/>
    <n v="18498"/>
    <s v="Agosto"/>
    <x v="7"/>
  </r>
  <r>
    <x v="1"/>
    <x v="2"/>
    <x v="6"/>
    <x v="0"/>
    <x v="74"/>
    <n v="3000"/>
    <s v="Dezembro"/>
    <x v="2"/>
  </r>
  <r>
    <x v="1"/>
    <x v="1"/>
    <x v="4"/>
    <x v="2"/>
    <x v="75"/>
    <n v="17403"/>
    <s v="Julho"/>
    <x v="6"/>
  </r>
  <r>
    <x v="4"/>
    <x v="2"/>
    <x v="7"/>
    <x v="3"/>
    <x v="15"/>
    <n v="17160"/>
    <s v="Novembro"/>
    <x v="7"/>
  </r>
  <r>
    <x v="4"/>
    <x v="2"/>
    <x v="7"/>
    <x v="3"/>
    <x v="46"/>
    <n v="17160"/>
    <s v="Janeiro"/>
    <x v="7"/>
  </r>
  <r>
    <x v="4"/>
    <x v="2"/>
    <x v="16"/>
    <x v="3"/>
    <x v="15"/>
    <n v="17160"/>
    <s v="Novembro"/>
    <x v="7"/>
  </r>
  <r>
    <x v="4"/>
    <x v="2"/>
    <x v="17"/>
    <x v="3"/>
    <x v="46"/>
    <n v="17160"/>
    <s v="Janeiro"/>
    <x v="7"/>
  </r>
  <r>
    <x v="4"/>
    <x v="2"/>
    <x v="16"/>
    <x v="3"/>
    <x v="15"/>
    <n v="17160"/>
    <s v="Novembro"/>
    <x v="7"/>
  </r>
  <r>
    <x v="4"/>
    <x v="2"/>
    <x v="16"/>
    <x v="3"/>
    <x v="15"/>
    <n v="17160"/>
    <s v="Novembro"/>
    <x v="7"/>
  </r>
  <r>
    <x v="3"/>
    <x v="3"/>
    <x v="5"/>
    <x v="3"/>
    <x v="76"/>
    <n v="17117"/>
    <s v="Março"/>
    <x v="4"/>
  </r>
  <r>
    <x v="3"/>
    <x v="0"/>
    <x v="2"/>
    <x v="2"/>
    <x v="77"/>
    <n v="17005"/>
    <s v="Junho"/>
    <x v="3"/>
  </r>
  <r>
    <x v="4"/>
    <x v="0"/>
    <x v="4"/>
    <x v="2"/>
    <x v="78"/>
    <n v="16963"/>
    <s v="Outubro"/>
    <x v="2"/>
  </r>
  <r>
    <x v="2"/>
    <x v="0"/>
    <x v="11"/>
    <x v="0"/>
    <x v="79"/>
    <n v="16823"/>
    <s v="Abril"/>
    <x v="0"/>
  </r>
  <r>
    <x v="3"/>
    <x v="3"/>
    <x v="9"/>
    <x v="1"/>
    <x v="80"/>
    <n v="16164"/>
    <s v="Março"/>
    <x v="5"/>
  </r>
  <r>
    <x v="3"/>
    <x v="1"/>
    <x v="4"/>
    <x v="2"/>
    <x v="81"/>
    <n v="16066"/>
    <s v="Novembro"/>
    <x v="6"/>
  </r>
  <r>
    <x v="3"/>
    <x v="3"/>
    <x v="9"/>
    <x v="1"/>
    <x v="82"/>
    <n v="15503"/>
    <s v="Abril"/>
    <x v="0"/>
  </r>
  <r>
    <x v="2"/>
    <x v="1"/>
    <x v="1"/>
    <x v="1"/>
    <x v="83"/>
    <n v="15041"/>
    <s v="Março"/>
    <x v="0"/>
  </r>
  <r>
    <x v="4"/>
    <x v="3"/>
    <x v="10"/>
    <x v="0"/>
    <x v="84"/>
    <n v="14924"/>
    <s v="Outubro"/>
    <x v="1"/>
  </r>
  <r>
    <x v="2"/>
    <x v="3"/>
    <x v="5"/>
    <x v="3"/>
    <x v="85"/>
    <n v="14616"/>
    <s v="Junho"/>
    <x v="2"/>
  </r>
  <r>
    <x v="0"/>
    <x v="3"/>
    <x v="10"/>
    <x v="0"/>
    <x v="86"/>
    <n v="14525"/>
    <s v="Dezembro"/>
    <x v="3"/>
  </r>
  <r>
    <x v="3"/>
    <x v="1"/>
    <x v="4"/>
    <x v="2"/>
    <x v="87"/>
    <n v="14308"/>
    <s v="Setembro"/>
    <x v="5"/>
  </r>
  <r>
    <x v="4"/>
    <x v="2"/>
    <x v="5"/>
    <x v="3"/>
    <x v="88"/>
    <n v="13558"/>
    <s v="Fevereiro"/>
    <x v="2"/>
  </r>
  <r>
    <x v="3"/>
    <x v="3"/>
    <x v="9"/>
    <x v="1"/>
    <x v="75"/>
    <n v="13553"/>
    <s v="Julho"/>
    <x v="3"/>
  </r>
  <r>
    <x v="1"/>
    <x v="2"/>
    <x v="11"/>
    <x v="0"/>
    <x v="89"/>
    <n v="13197"/>
    <s v="Maio"/>
    <x v="1"/>
  </r>
  <r>
    <x v="3"/>
    <x v="0"/>
    <x v="9"/>
    <x v="1"/>
    <x v="90"/>
    <n v="13066"/>
    <s v="Maio"/>
    <x v="3"/>
  </r>
  <r>
    <x v="3"/>
    <x v="0"/>
    <x v="9"/>
    <x v="1"/>
    <x v="46"/>
    <n v="13066"/>
    <s v="Janeiro"/>
    <x v="3"/>
  </r>
  <r>
    <x v="3"/>
    <x v="0"/>
    <x v="18"/>
    <x v="1"/>
    <x v="46"/>
    <n v="13066"/>
    <s v="Janeiro"/>
    <x v="3"/>
  </r>
  <r>
    <x v="3"/>
    <x v="0"/>
    <x v="18"/>
    <x v="1"/>
    <x v="46"/>
    <n v="13066"/>
    <s v="Janeiro"/>
    <x v="3"/>
  </r>
  <r>
    <x v="3"/>
    <x v="0"/>
    <x v="18"/>
    <x v="1"/>
    <x v="46"/>
    <n v="13066"/>
    <s v="Janeiro"/>
    <x v="3"/>
  </r>
  <r>
    <x v="1"/>
    <x v="0"/>
    <x v="6"/>
    <x v="0"/>
    <x v="91"/>
    <n v="11608"/>
    <s v="Julho"/>
    <x v="4"/>
  </r>
  <r>
    <x v="3"/>
    <x v="0"/>
    <x v="9"/>
    <x v="1"/>
    <x v="92"/>
    <n v="11080"/>
    <s v="Setembro"/>
    <x v="5"/>
  </r>
  <r>
    <x v="0"/>
    <x v="3"/>
    <x v="10"/>
    <x v="0"/>
    <x v="93"/>
    <n v="10575"/>
    <s v="Dezembro"/>
    <x v="0"/>
  </r>
  <r>
    <x v="2"/>
    <x v="2"/>
    <x v="1"/>
    <x v="1"/>
    <x v="94"/>
    <n v="10325"/>
    <s v="Abril"/>
    <x v="1"/>
  </r>
  <r>
    <x v="1"/>
    <x v="1"/>
    <x v="8"/>
    <x v="3"/>
    <x v="95"/>
    <n v="10189"/>
    <s v="Março"/>
    <x v="2"/>
  </r>
  <r>
    <x v="1"/>
    <x v="0"/>
    <x v="19"/>
    <x v="2"/>
    <x v="47"/>
    <n v="10000"/>
    <s v="Janeiro"/>
    <x v="1"/>
  </r>
  <r>
    <x v="3"/>
    <x v="3"/>
    <x v="9"/>
    <x v="1"/>
    <x v="93"/>
    <n v="9708"/>
    <s v="Dezembro"/>
    <x v="5"/>
  </r>
  <r>
    <x v="3"/>
    <x v="3"/>
    <x v="9"/>
    <x v="1"/>
    <x v="46"/>
    <n v="9708"/>
    <s v="Janeiro"/>
    <x v="5"/>
  </r>
  <r>
    <x v="3"/>
    <x v="3"/>
    <x v="20"/>
    <x v="1"/>
    <x v="46"/>
    <n v="9708"/>
    <s v="Janeiro"/>
    <x v="5"/>
  </r>
  <r>
    <x v="3"/>
    <x v="3"/>
    <x v="20"/>
    <x v="1"/>
    <x v="46"/>
    <n v="9708"/>
    <s v="Janeiro"/>
    <x v="5"/>
  </r>
  <r>
    <x v="3"/>
    <x v="3"/>
    <x v="20"/>
    <x v="1"/>
    <x v="46"/>
    <n v="9708"/>
    <s v="Janeiro"/>
    <x v="5"/>
  </r>
  <r>
    <x v="4"/>
    <x v="0"/>
    <x v="9"/>
    <x v="1"/>
    <x v="96"/>
    <n v="9524"/>
    <s v="Maio"/>
    <x v="6"/>
  </r>
  <r>
    <x v="4"/>
    <x v="1"/>
    <x v="8"/>
    <x v="3"/>
    <x v="97"/>
    <n v="9323"/>
    <s v="Julho"/>
    <x v="5"/>
  </r>
  <r>
    <x v="4"/>
    <x v="1"/>
    <x v="5"/>
    <x v="3"/>
    <x v="79"/>
    <n v="9096"/>
    <s v="Abril"/>
    <x v="1"/>
  </r>
  <r>
    <x v="1"/>
    <x v="3"/>
    <x v="9"/>
    <x v="1"/>
    <x v="28"/>
    <n v="8618"/>
    <s v="Dezembro"/>
    <x v="2"/>
  </r>
  <r>
    <x v="1"/>
    <x v="3"/>
    <x v="9"/>
    <x v="1"/>
    <x v="46"/>
    <n v="8618"/>
    <s v="Janeiro"/>
    <x v="2"/>
  </r>
  <r>
    <x v="1"/>
    <x v="3"/>
    <x v="21"/>
    <x v="1"/>
    <x v="46"/>
    <n v="8618"/>
    <s v="Janeiro"/>
    <x v="2"/>
  </r>
  <r>
    <x v="1"/>
    <x v="3"/>
    <x v="21"/>
    <x v="1"/>
    <x v="46"/>
    <n v="8618"/>
    <s v="Janeiro"/>
    <x v="2"/>
  </r>
  <r>
    <x v="1"/>
    <x v="3"/>
    <x v="21"/>
    <x v="1"/>
    <x v="46"/>
    <n v="8618"/>
    <s v="Janeiro"/>
    <x v="2"/>
  </r>
  <r>
    <x v="1"/>
    <x v="1"/>
    <x v="1"/>
    <x v="1"/>
    <x v="98"/>
    <n v="8126"/>
    <s v="Agosto"/>
    <x v="1"/>
  </r>
  <r>
    <x v="3"/>
    <x v="3"/>
    <x v="7"/>
    <x v="3"/>
    <x v="75"/>
    <n v="7914"/>
    <s v="Julho"/>
    <x v="7"/>
  </r>
  <r>
    <x v="4"/>
    <x v="2"/>
    <x v="7"/>
    <x v="3"/>
    <x v="99"/>
    <n v="7882"/>
    <s v="Março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021B54-97D9-467F-8AC9-B8FAAB5965D3}" name="Tabela dinâmica1" cacheId="12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3">
  <location ref="A3:B104" firstHeaderRow="1" firstDataRow="1" firstDataCol="1"/>
  <pivotFields count="8">
    <pivotField showAll="0">
      <items count="6">
        <item x="3"/>
        <item x="4"/>
        <item x="2"/>
        <item x="0"/>
        <item x="1"/>
        <item t="default"/>
      </items>
    </pivotField>
    <pivotField showAll="0">
      <items count="7">
        <item x="2"/>
        <item x="0"/>
        <item x="3"/>
        <item x="1"/>
        <item x="4"/>
        <item m="1" x="5"/>
        <item t="default"/>
      </items>
    </pivotField>
    <pivotField showAll="0"/>
    <pivotField showAll="0">
      <items count="5">
        <item x="2"/>
        <item x="1"/>
        <item x="0"/>
        <item x="3"/>
        <item t="default"/>
      </items>
    </pivotField>
    <pivotField axis="axisRow" numFmtId="14" showAll="0">
      <items count="101">
        <item x="65"/>
        <item x="58"/>
        <item x="67"/>
        <item x="32"/>
        <item x="22"/>
        <item x="95"/>
        <item x="83"/>
        <item x="29"/>
        <item x="76"/>
        <item x="35"/>
        <item x="13"/>
        <item x="82"/>
        <item x="89"/>
        <item x="96"/>
        <item x="49"/>
        <item x="77"/>
        <item x="36"/>
        <item x="85"/>
        <item x="4"/>
        <item x="97"/>
        <item x="20"/>
        <item x="41"/>
        <item x="75"/>
        <item x="11"/>
        <item x="73"/>
        <item x="64"/>
        <item x="59"/>
        <item x="9"/>
        <item x="7"/>
        <item x="31"/>
        <item x="26"/>
        <item x="71"/>
        <item x="84"/>
        <item x="53"/>
        <item x="33"/>
        <item x="72"/>
        <item x="45"/>
        <item x="43"/>
        <item x="14"/>
        <item x="61"/>
        <item x="69"/>
        <item x="50"/>
        <item x="18"/>
        <item x="37"/>
        <item x="38"/>
        <item x="17"/>
        <item x="93"/>
        <item x="16"/>
        <item x="28"/>
        <item x="27"/>
        <item x="47"/>
        <item x="10"/>
        <item x="24"/>
        <item x="88"/>
        <item x="60"/>
        <item x="80"/>
        <item x="99"/>
        <item x="94"/>
        <item x="56"/>
        <item x="55"/>
        <item x="79"/>
        <item x="8"/>
        <item x="0"/>
        <item x="19"/>
        <item x="1"/>
        <item x="90"/>
        <item x="34"/>
        <item x="66"/>
        <item x="30"/>
        <item x="2"/>
        <item x="52"/>
        <item x="63"/>
        <item x="62"/>
        <item x="91"/>
        <item x="21"/>
        <item x="40"/>
        <item x="6"/>
        <item x="3"/>
        <item x="98"/>
        <item x="48"/>
        <item x="39"/>
        <item x="23"/>
        <item x="44"/>
        <item x="87"/>
        <item x="92"/>
        <item x="54"/>
        <item x="68"/>
        <item x="78"/>
        <item x="70"/>
        <item x="12"/>
        <item x="15"/>
        <item x="51"/>
        <item x="81"/>
        <item x="25"/>
        <item x="86"/>
        <item x="42"/>
        <item x="57"/>
        <item x="5"/>
        <item x="74"/>
        <item x="46"/>
        <item t="default"/>
      </items>
    </pivotField>
    <pivotField dataField="1" numFmtId="44" showAll="0"/>
    <pivotField showAll="0"/>
    <pivotField showAll="0">
      <items count="9">
        <item x="4"/>
        <item x="0"/>
        <item x="2"/>
        <item x="5"/>
        <item x="6"/>
        <item x="1"/>
        <item x="3"/>
        <item x="7"/>
        <item t="default"/>
      </items>
    </pivotField>
  </pivotFields>
  <rowFields count="1">
    <field x="4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Items count="1">
    <i/>
  </colItems>
  <dataFields count="1">
    <dataField name="Soma de Valor" fld="5" baseField="0" baseItem="0" numFmtId="44"/>
  </dataFields>
  <formats count="1">
    <format dxfId="1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68B6C-CFA6-4D59-802D-F288D35C72FF}" name="Tabela dinâmica2" cacheId="12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D3:E12" firstHeaderRow="1" firstDataRow="1" firstDataCol="1"/>
  <pivotFields count="8">
    <pivotField showAll="0">
      <items count="6">
        <item x="3"/>
        <item x="4"/>
        <item x="2"/>
        <item x="0"/>
        <item x="1"/>
        <item t="default"/>
      </items>
    </pivotField>
    <pivotField showAll="0">
      <items count="7">
        <item x="2"/>
        <item x="0"/>
        <item x="3"/>
        <item x="1"/>
        <item x="4"/>
        <item m="1" x="5"/>
        <item t="default"/>
      </items>
    </pivotField>
    <pivotField showAll="0"/>
    <pivotField showAll="0">
      <items count="5">
        <item x="2"/>
        <item x="1"/>
        <item x="0"/>
        <item x="3"/>
        <item t="default"/>
      </items>
    </pivotField>
    <pivotField numFmtId="14" showAll="0">
      <items count="101">
        <item x="65"/>
        <item x="58"/>
        <item x="67"/>
        <item x="32"/>
        <item x="22"/>
        <item x="95"/>
        <item x="83"/>
        <item x="29"/>
        <item x="76"/>
        <item x="35"/>
        <item x="13"/>
        <item x="82"/>
        <item x="89"/>
        <item x="96"/>
        <item x="49"/>
        <item x="77"/>
        <item x="36"/>
        <item x="85"/>
        <item x="4"/>
        <item x="97"/>
        <item x="20"/>
        <item x="41"/>
        <item x="75"/>
        <item x="11"/>
        <item x="73"/>
        <item x="64"/>
        <item x="59"/>
        <item x="9"/>
        <item x="7"/>
        <item x="31"/>
        <item x="26"/>
        <item x="71"/>
        <item x="84"/>
        <item x="53"/>
        <item x="33"/>
        <item x="72"/>
        <item x="45"/>
        <item x="43"/>
        <item x="14"/>
        <item x="61"/>
        <item x="69"/>
        <item x="50"/>
        <item x="18"/>
        <item x="37"/>
        <item x="38"/>
        <item x="17"/>
        <item x="93"/>
        <item x="16"/>
        <item x="28"/>
        <item x="27"/>
        <item x="47"/>
        <item x="10"/>
        <item x="24"/>
        <item x="88"/>
        <item x="60"/>
        <item x="80"/>
        <item x="99"/>
        <item x="94"/>
        <item x="56"/>
        <item x="55"/>
        <item x="79"/>
        <item x="8"/>
        <item x="0"/>
        <item x="19"/>
        <item x="1"/>
        <item x="90"/>
        <item x="34"/>
        <item x="66"/>
        <item x="30"/>
        <item x="2"/>
        <item x="52"/>
        <item x="63"/>
        <item x="62"/>
        <item x="91"/>
        <item x="21"/>
        <item x="40"/>
        <item x="6"/>
        <item x="3"/>
        <item x="98"/>
        <item x="48"/>
        <item x="39"/>
        <item x="23"/>
        <item x="44"/>
        <item x="87"/>
        <item x="92"/>
        <item x="54"/>
        <item x="68"/>
        <item x="78"/>
        <item x="70"/>
        <item x="12"/>
        <item x="15"/>
        <item x="51"/>
        <item x="81"/>
        <item x="25"/>
        <item x="86"/>
        <item x="42"/>
        <item x="57"/>
        <item x="5"/>
        <item x="74"/>
        <item x="46"/>
        <item t="default"/>
      </items>
    </pivotField>
    <pivotField dataField="1" numFmtId="44" showAll="0"/>
    <pivotField showAll="0"/>
    <pivotField axis="axisRow" showAll="0">
      <items count="9">
        <item x="4"/>
        <item x="0"/>
        <item x="2"/>
        <item x="5"/>
        <item x="6"/>
        <item x="1"/>
        <item x="3"/>
        <item x="7"/>
        <item t="default"/>
      </items>
    </pivotField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Valor" fld="5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1FD33-77FC-43F0-9471-07CF1066960E}" name="Tabela dinâmica3" cacheId="12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1">
  <location ref="G3:H26" firstHeaderRow="1" firstDataRow="1" firstDataCol="1"/>
  <pivotFields count="8">
    <pivotField showAll="0">
      <items count="6">
        <item x="3"/>
        <item x="4"/>
        <item x="2"/>
        <item x="0"/>
        <item x="1"/>
        <item t="default"/>
      </items>
    </pivotField>
    <pivotField showAll="0">
      <items count="7">
        <item x="2"/>
        <item x="0"/>
        <item x="3"/>
        <item x="1"/>
        <item x="4"/>
        <item m="1" x="5"/>
        <item t="default"/>
      </items>
    </pivotField>
    <pivotField axis="axisRow" showAll="0">
      <items count="23">
        <item x="11"/>
        <item x="7"/>
        <item x="12"/>
        <item x="21"/>
        <item x="9"/>
        <item x="15"/>
        <item x="18"/>
        <item x="16"/>
        <item x="6"/>
        <item x="13"/>
        <item x="5"/>
        <item x="4"/>
        <item x="1"/>
        <item x="2"/>
        <item x="3"/>
        <item x="19"/>
        <item x="14"/>
        <item x="8"/>
        <item x="10"/>
        <item x="20"/>
        <item x="17"/>
        <item x="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numFmtId="14" showAll="0">
      <items count="101">
        <item x="65"/>
        <item x="58"/>
        <item x="67"/>
        <item x="32"/>
        <item x="22"/>
        <item x="95"/>
        <item x="83"/>
        <item x="29"/>
        <item x="76"/>
        <item x="35"/>
        <item x="13"/>
        <item x="82"/>
        <item x="89"/>
        <item x="96"/>
        <item x="49"/>
        <item x="77"/>
        <item x="36"/>
        <item x="85"/>
        <item x="4"/>
        <item x="97"/>
        <item x="20"/>
        <item x="41"/>
        <item x="75"/>
        <item x="11"/>
        <item x="73"/>
        <item x="64"/>
        <item x="59"/>
        <item x="9"/>
        <item x="7"/>
        <item x="31"/>
        <item x="26"/>
        <item x="71"/>
        <item x="84"/>
        <item x="53"/>
        <item x="33"/>
        <item x="72"/>
        <item x="45"/>
        <item x="43"/>
        <item x="14"/>
        <item x="61"/>
        <item x="69"/>
        <item x="50"/>
        <item x="18"/>
        <item x="37"/>
        <item x="38"/>
        <item x="17"/>
        <item x="93"/>
        <item x="16"/>
        <item x="28"/>
        <item x="27"/>
        <item x="47"/>
        <item x="10"/>
        <item x="24"/>
        <item x="88"/>
        <item x="60"/>
        <item x="80"/>
        <item x="99"/>
        <item x="94"/>
        <item x="56"/>
        <item x="55"/>
        <item x="79"/>
        <item x="8"/>
        <item x="0"/>
        <item x="19"/>
        <item x="1"/>
        <item x="90"/>
        <item x="34"/>
        <item x="66"/>
        <item x="30"/>
        <item x="2"/>
        <item x="52"/>
        <item x="63"/>
        <item x="62"/>
        <item x="91"/>
        <item x="21"/>
        <item x="40"/>
        <item x="6"/>
        <item x="3"/>
        <item x="98"/>
        <item x="48"/>
        <item x="39"/>
        <item x="23"/>
        <item x="44"/>
        <item x="87"/>
        <item x="92"/>
        <item x="54"/>
        <item x="68"/>
        <item x="78"/>
        <item x="70"/>
        <item x="12"/>
        <item x="15"/>
        <item x="51"/>
        <item x="81"/>
        <item x="25"/>
        <item x="86"/>
        <item x="42"/>
        <item x="57"/>
        <item x="5"/>
        <item x="74"/>
        <item x="46"/>
        <item t="default"/>
      </items>
    </pivotField>
    <pivotField dataField="1" numFmtId="44" showAll="0"/>
    <pivotField showAll="0"/>
    <pivotField showAll="0">
      <items count="9">
        <item x="4"/>
        <item x="0"/>
        <item x="2"/>
        <item x="5"/>
        <item x="6"/>
        <item x="1"/>
        <item x="3"/>
        <item x="7"/>
        <item t="default"/>
      </items>
    </pivotField>
  </pivotFields>
  <rowFields count="1">
    <field x="2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dataFields count="1">
    <dataField name="Soma de Valor" fld="5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ACC558-01DB-404F-9298-975ADACDC209}" name="Tabela dinâmica4" cacheId="12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J3:P9" firstHeaderRow="1" firstDataRow="2" firstDataCol="1"/>
  <pivotFields count="8">
    <pivotField showAll="0">
      <items count="6">
        <item x="3"/>
        <item x="4"/>
        <item x="2"/>
        <item x="0"/>
        <item x="1"/>
        <item t="default"/>
      </items>
    </pivotField>
    <pivotField axis="axisCol" showAll="0">
      <items count="7">
        <item x="2"/>
        <item x="0"/>
        <item x="3"/>
        <item x="1"/>
        <item x="4"/>
        <item m="1" x="5"/>
        <item t="default"/>
      </items>
    </pivotField>
    <pivotField showAll="0"/>
    <pivotField axis="axisRow" showAll="0">
      <items count="5">
        <item x="2"/>
        <item x="1"/>
        <item x="0"/>
        <item x="3"/>
        <item t="default"/>
      </items>
    </pivotField>
    <pivotField numFmtId="14" showAll="0">
      <items count="101">
        <item x="65"/>
        <item x="58"/>
        <item x="67"/>
        <item x="32"/>
        <item x="22"/>
        <item x="95"/>
        <item x="83"/>
        <item x="29"/>
        <item x="76"/>
        <item x="35"/>
        <item x="13"/>
        <item x="82"/>
        <item x="89"/>
        <item x="96"/>
        <item x="49"/>
        <item x="77"/>
        <item x="36"/>
        <item x="85"/>
        <item x="4"/>
        <item x="97"/>
        <item x="20"/>
        <item x="41"/>
        <item x="75"/>
        <item x="11"/>
        <item x="73"/>
        <item x="64"/>
        <item x="59"/>
        <item x="9"/>
        <item x="7"/>
        <item x="31"/>
        <item x="26"/>
        <item x="71"/>
        <item x="84"/>
        <item x="53"/>
        <item x="33"/>
        <item x="72"/>
        <item x="45"/>
        <item x="43"/>
        <item x="14"/>
        <item x="61"/>
        <item x="69"/>
        <item x="50"/>
        <item x="18"/>
        <item x="37"/>
        <item x="38"/>
        <item x="17"/>
        <item x="93"/>
        <item x="16"/>
        <item x="28"/>
        <item x="27"/>
        <item x="47"/>
        <item x="10"/>
        <item x="24"/>
        <item x="88"/>
        <item x="60"/>
        <item x="80"/>
        <item x="99"/>
        <item x="94"/>
        <item x="56"/>
        <item x="55"/>
        <item x="79"/>
        <item x="8"/>
        <item x="0"/>
        <item x="19"/>
        <item x="1"/>
        <item x="90"/>
        <item x="34"/>
        <item x="66"/>
        <item x="30"/>
        <item x="2"/>
        <item x="52"/>
        <item x="63"/>
        <item x="62"/>
        <item x="91"/>
        <item x="21"/>
        <item x="40"/>
        <item x="6"/>
        <item x="3"/>
        <item x="98"/>
        <item x="48"/>
        <item x="39"/>
        <item x="23"/>
        <item x="44"/>
        <item x="87"/>
        <item x="92"/>
        <item x="54"/>
        <item x="68"/>
        <item x="78"/>
        <item x="70"/>
        <item x="12"/>
        <item x="15"/>
        <item x="51"/>
        <item x="81"/>
        <item x="25"/>
        <item x="86"/>
        <item x="42"/>
        <item x="57"/>
        <item x="5"/>
        <item x="74"/>
        <item x="46"/>
        <item t="default"/>
      </items>
    </pivotField>
    <pivotField dataField="1" numFmtId="44" showAll="0"/>
    <pivotField showAll="0"/>
    <pivotField showAll="0">
      <items count="9">
        <item x="4"/>
        <item x="0"/>
        <item x="2"/>
        <item x="5"/>
        <item x="6"/>
        <item x="1"/>
        <item x="3"/>
        <item x="7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ntagem de Valor" fld="5" subtotal="count" baseField="2" baseItem="0"/>
  </dataFields>
  <chartFormats count="6"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D9825E50-88C7-4D68-8DF3-4ED9982AB326}" sourceName="Produto">
  <pivotTables>
    <pivotTable tabId="11" name="Tabela dinâmica1"/>
    <pivotTable tabId="11" name="Tabela dinâmica2"/>
    <pivotTable tabId="11" name="Tabela dinâmica3"/>
    <pivotTable tabId="11" name="Tabela dinâmica4"/>
  </pivotTables>
  <data>
    <tabular pivotCacheId="574873163">
      <items count="6">
        <i x="2" s="1"/>
        <i x="0" s="1"/>
        <i x="3" s="1"/>
        <i x="1" s="1"/>
        <i x="4" s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ilial" xr10:uid="{4887D017-F5FF-4ABC-A5A0-C1E2A36C1D3F}" sourceName="Filial">
  <pivotTables>
    <pivotTable tabId="11" name="Tabela dinâmica1"/>
    <pivotTable tabId="11" name="Tabela dinâmica2"/>
    <pivotTable tabId="11" name="Tabela dinâmica3"/>
    <pivotTable tabId="11" name="Tabela dinâmica4"/>
  </pivotTables>
  <data>
    <tabular pivotCacheId="574873163">
      <items count="4">
        <i x="2" s="1"/>
        <i x="1" s="1"/>
        <i x="0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úncio_responsavel" xr10:uid="{54975B64-CBCB-4C97-940B-0DC5B9DAB0CB}" sourceName="Anúncio responsavel">
  <pivotTables>
    <pivotTable tabId="11" name="Tabela dinâmica1"/>
    <pivotTable tabId="11" name="Tabela dinâmica2"/>
    <pivotTable tabId="11" name="Tabela dinâmica3"/>
    <pivotTable tabId="11" name="Tabela dinâmica4"/>
  </pivotTables>
  <data>
    <tabular pivotCacheId="574873163">
      <items count="8">
        <i x="4" s="1"/>
        <i x="0" s="1"/>
        <i x="2" s="1"/>
        <i x="5" s="1"/>
        <i x="6" s="1"/>
        <i x="1" s="1"/>
        <i x="3" s="1"/>
        <i x="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4B39D803-2886-4F96-B402-23E787899940}" sourceName="Cliente">
  <pivotTables>
    <pivotTable tabId="11" name="Tabela dinâmica1"/>
    <pivotTable tabId="11" name="Tabela dinâmica2"/>
    <pivotTable tabId="11" name="Tabela dinâmica3"/>
    <pivotTable tabId="11" name="Tabela dinâmica4"/>
  </pivotTables>
  <data>
    <tabular pivotCacheId="574873163">
      <items count="5">
        <i x="3" s="1"/>
        <i x="4" s="1"/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" xr10:uid="{F950BC48-B7A8-4DA0-B4D9-F9E82E8801F1}" cache="SegmentaçãodeDados_Produto" caption="Produto" rowHeight="241300"/>
  <slicer name="Filial" xr10:uid="{1E2E20FD-6BD6-4093-942B-8307D82A1A66}" cache="SegmentaçãodeDados_Filial" caption="Filial" rowHeight="241200"/>
  <slicer name="Anúncio responsavel" xr10:uid="{04E5A4A5-296C-4310-B5CB-D9E95D860A5A}" cache="SegmentaçãodeDados_Anúncio_responsavel" caption="Anúncio responsavel" columnCount="2" rowHeight="241200"/>
  <slicer name="Cliente" xr10:uid="{0DDE9074-FAC5-43B5-BA86-86E25E4A8D26}" cache="SegmentaçãodeDados_Cliente" caption="Cliente" columnCount="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D3E343-13E0-4EFA-9EE1-8BE809FF3CB6}" name="Tabela1" displayName="Tabela1" ref="A1:H138" totalsRowShown="0">
  <autoFilter ref="A1:H138" xr:uid="{00000000-0009-0000-0000-000000000000}">
    <filterColumn colId="1">
      <filters>
        <filter val="Produto 04"/>
      </filters>
    </filterColumn>
  </autoFilter>
  <tableColumns count="8">
    <tableColumn id="1" xr3:uid="{4E3E4165-C26B-47F6-A03B-804105B0222D}" name="Cliente"/>
    <tableColumn id="2" xr3:uid="{CE7789C5-4DAD-4A16-9B21-A411BB8AF9A0}" name="Produto"/>
    <tableColumn id="3" xr3:uid="{D10879EF-9FAD-4F5A-8547-E130AF738AD8}" name="Vendedor"/>
    <tableColumn id="4" xr3:uid="{3F4DF014-79B7-460C-8E9E-CFB5C3E7E227}" name="Filial"/>
    <tableColumn id="5" xr3:uid="{1BBC3877-5BC9-4911-9FB3-7153A284DFD9}" name="Data da Venda" dataDxfId="3"/>
    <tableColumn id="6" xr3:uid="{73832ACD-A0EA-42CC-B718-D754FBCFEB1F}" name="Valor" dataDxfId="2" dataCellStyle="Moeda"/>
    <tableColumn id="8" xr3:uid="{50DD61F5-F6B6-458A-8D3B-D663B0228A1E}" name="Mês da Venda"/>
    <tableColumn id="9" xr3:uid="{A9BAD19D-76A3-4A3C-9624-CBECBE14D4F5}" name="Anúncio responsavel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281854-3ADF-4DD9-8F5B-34AB276D55C7}" name="Tabela2" displayName="Tabela2" ref="A1:H7" totalsRowShown="0">
  <autoFilter ref="A1:H7" xr:uid="{1C281854-3ADF-4DD9-8F5B-34AB276D55C7}"/>
  <tableColumns count="8">
    <tableColumn id="1" xr3:uid="{ED460EC2-ED08-45E4-B0BB-1550F6D2DE8D}" name="Cliente"/>
    <tableColumn id="2" xr3:uid="{660B3CAD-D2C5-4C09-96C7-18E03283967E}" name="Produto"/>
    <tableColumn id="3" xr3:uid="{D23D465F-A1C8-4D2B-A2DB-BACB83A5EC2D}" name="Vendedor"/>
    <tableColumn id="4" xr3:uid="{2C852396-4D2A-4965-B9E7-8E58CB86EC60}" name="Filial"/>
    <tableColumn id="5" xr3:uid="{FD28A7D0-A027-4B38-8535-6B4A95C66642}" name="Data da Venda" dataDxfId="0"/>
    <tableColumn id="6" xr3:uid="{DA0BC75A-63D4-439E-9382-0E2D7148B29C}" name="Valor"/>
    <tableColumn id="7" xr3:uid="{246FE8B1-509A-4F98-885D-4133338811DE}" name="Mês da Venda"/>
    <tableColumn id="8" xr3:uid="{EEA5851B-4F5E-4B6E-AF3C-DA3F9CB3614C}" name="Anúncio responsa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da_Venda" xr10:uid="{27A285EA-F4C5-4775-801B-28D780D687CB}" sourceName="Data da Venda">
  <pivotTables>
    <pivotTable tabId="11" name="Tabela dinâmica1"/>
    <pivotTable tabId="11" name="Tabela dinâmica2"/>
    <pivotTable tabId="11" name="Tabela dinâmica3"/>
    <pivotTable tabId="11" name="Tabela dinâmica4"/>
  </pivotTables>
  <state minimalRefreshVersion="6" lastRefreshVersion="6" pivotCacheId="574873163" filterType="unknown">
    <bounds startDate="2015-01-01T00:00:00" endDate="201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da Venda" xr10:uid="{26DF0D6C-B0DE-4641-8D86-01AD6DD548C2}" cache="NativeTimeline_Data_da_Venda" caption="Data da Venda" level="2" selectionLevel="2" scrollPosition="2015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1D215-4D18-49D4-8C21-C1DA9DE2F231}">
  <sheetPr codeName="Planilha1"/>
  <dimension ref="A3:P104"/>
  <sheetViews>
    <sheetView topLeftCell="C1" workbookViewId="0">
      <selection activeCell="G15" sqref="G4:G25"/>
    </sheetView>
  </sheetViews>
  <sheetFormatPr defaultRowHeight="15" x14ac:dyDescent="0.25"/>
  <cols>
    <col min="1" max="1" width="18" bestFit="1" customWidth="1"/>
    <col min="2" max="2" width="15.85546875" bestFit="1" customWidth="1"/>
    <col min="4" max="4" width="18" bestFit="1" customWidth="1"/>
    <col min="5" max="5" width="13.85546875" style="2" bestFit="1" customWidth="1"/>
    <col min="7" max="7" width="18" bestFit="1" customWidth="1"/>
    <col min="8" max="8" width="13.85546875" style="2" bestFit="1" customWidth="1"/>
    <col min="9" max="9" width="19.140625" bestFit="1" customWidth="1"/>
    <col min="10" max="10" width="18.140625" bestFit="1" customWidth="1"/>
    <col min="11" max="11" width="19.5703125" bestFit="1" customWidth="1"/>
    <col min="12" max="15" width="10.5703125" bestFit="1" customWidth="1"/>
    <col min="16" max="16" width="10.7109375" bestFit="1" customWidth="1"/>
  </cols>
  <sheetData>
    <row r="3" spans="1:16" x14ac:dyDescent="0.25">
      <c r="A3" s="4" t="s">
        <v>64</v>
      </c>
      <c r="B3" t="s">
        <v>63</v>
      </c>
      <c r="D3" s="4" t="s">
        <v>64</v>
      </c>
      <c r="E3" t="s">
        <v>63</v>
      </c>
      <c r="G3" s="4" t="s">
        <v>64</v>
      </c>
      <c r="H3" t="s">
        <v>63</v>
      </c>
      <c r="J3" s="4" t="s">
        <v>66</v>
      </c>
      <c r="K3" s="4" t="s">
        <v>67</v>
      </c>
    </row>
    <row r="4" spans="1:16" x14ac:dyDescent="0.25">
      <c r="A4" s="5">
        <v>42017</v>
      </c>
      <c r="B4" s="7">
        <v>22094</v>
      </c>
      <c r="D4" s="6" t="s">
        <v>35</v>
      </c>
      <c r="E4" s="3">
        <v>395647</v>
      </c>
      <c r="G4" s="6" t="s">
        <v>50</v>
      </c>
      <c r="H4" s="3">
        <v>121171</v>
      </c>
      <c r="J4" s="4" t="s">
        <v>64</v>
      </c>
      <c r="K4" t="s">
        <v>29</v>
      </c>
      <c r="L4" t="s">
        <v>9</v>
      </c>
      <c r="M4" t="s">
        <v>33</v>
      </c>
      <c r="N4" t="s">
        <v>15</v>
      </c>
      <c r="O4" t="s">
        <v>73</v>
      </c>
      <c r="P4" t="s">
        <v>65</v>
      </c>
    </row>
    <row r="5" spans="1:16" x14ac:dyDescent="0.25">
      <c r="A5" s="5">
        <v>42025</v>
      </c>
      <c r="B5" s="7">
        <v>24094</v>
      </c>
      <c r="D5" s="6" t="s">
        <v>13</v>
      </c>
      <c r="E5" s="3">
        <v>867507</v>
      </c>
      <c r="G5" s="6" t="s">
        <v>43</v>
      </c>
      <c r="H5" s="3">
        <v>215242</v>
      </c>
      <c r="J5" s="6" t="s">
        <v>26</v>
      </c>
      <c r="K5" s="3">
        <v>7</v>
      </c>
      <c r="L5" s="3">
        <v>16</v>
      </c>
      <c r="M5" s="3">
        <v>6</v>
      </c>
      <c r="N5" s="3">
        <v>6</v>
      </c>
      <c r="O5" s="3">
        <v>2</v>
      </c>
      <c r="P5" s="3">
        <v>37</v>
      </c>
    </row>
    <row r="6" spans="1:16" x14ac:dyDescent="0.25">
      <c r="A6" s="5">
        <v>42032</v>
      </c>
      <c r="B6" s="7">
        <v>20781</v>
      </c>
      <c r="D6" s="6" t="s">
        <v>23</v>
      </c>
      <c r="E6" s="3">
        <v>279291</v>
      </c>
      <c r="G6" s="6" t="s">
        <v>52</v>
      </c>
      <c r="H6" s="3">
        <v>57074</v>
      </c>
      <c r="J6" s="6" t="s">
        <v>17</v>
      </c>
      <c r="K6" s="3">
        <v>8</v>
      </c>
      <c r="L6" s="3">
        <v>7</v>
      </c>
      <c r="M6" s="3">
        <v>15</v>
      </c>
      <c r="N6" s="3">
        <v>8</v>
      </c>
      <c r="O6" s="3"/>
      <c r="P6" s="3">
        <v>38</v>
      </c>
    </row>
    <row r="7" spans="1:16" x14ac:dyDescent="0.25">
      <c r="A7" s="5">
        <v>42041</v>
      </c>
      <c r="B7" s="7">
        <v>35138</v>
      </c>
      <c r="D7" s="6" t="s">
        <v>37</v>
      </c>
      <c r="E7" s="3">
        <v>325681</v>
      </c>
      <c r="G7" s="6" t="s">
        <v>62</v>
      </c>
      <c r="H7" s="3">
        <v>25854</v>
      </c>
      <c r="J7" s="6" t="s">
        <v>11</v>
      </c>
      <c r="K7" s="3">
        <v>6</v>
      </c>
      <c r="L7" s="3">
        <v>12</v>
      </c>
      <c r="M7" s="3">
        <v>11</v>
      </c>
      <c r="N7" s="3">
        <v>1</v>
      </c>
      <c r="O7" s="3">
        <v>1</v>
      </c>
      <c r="P7" s="3">
        <v>31</v>
      </c>
    </row>
    <row r="8" spans="1:16" x14ac:dyDescent="0.25">
      <c r="A8" s="5">
        <v>42047</v>
      </c>
      <c r="B8" s="7">
        <v>37529</v>
      </c>
      <c r="D8" s="6" t="s">
        <v>41</v>
      </c>
      <c r="E8" s="3">
        <v>402015</v>
      </c>
      <c r="G8" s="6" t="s">
        <v>48</v>
      </c>
      <c r="H8" s="3">
        <v>254092</v>
      </c>
      <c r="J8" s="6" t="s">
        <v>39</v>
      </c>
      <c r="K8" s="3">
        <v>12</v>
      </c>
      <c r="L8" s="3">
        <v>6</v>
      </c>
      <c r="M8" s="3">
        <v>6</v>
      </c>
      <c r="N8" s="3">
        <v>6</v>
      </c>
      <c r="O8" s="3">
        <v>1</v>
      </c>
      <c r="P8" s="3">
        <v>31</v>
      </c>
    </row>
    <row r="9" spans="1:16" x14ac:dyDescent="0.25">
      <c r="A9" s="5">
        <v>42071</v>
      </c>
      <c r="B9" s="7">
        <v>10189</v>
      </c>
      <c r="D9" s="6" t="s">
        <v>19</v>
      </c>
      <c r="E9" s="3">
        <v>322744</v>
      </c>
      <c r="G9" s="6" t="s">
        <v>56</v>
      </c>
      <c r="H9" s="3">
        <v>23204</v>
      </c>
      <c r="J9" s="6" t="s">
        <v>65</v>
      </c>
      <c r="K9" s="3">
        <v>33</v>
      </c>
      <c r="L9" s="3">
        <v>41</v>
      </c>
      <c r="M9" s="3">
        <v>38</v>
      </c>
      <c r="N9" s="3">
        <v>21</v>
      </c>
      <c r="O9" s="3">
        <v>4</v>
      </c>
      <c r="P9" s="3">
        <v>137</v>
      </c>
    </row>
    <row r="10" spans="1:16" x14ac:dyDescent="0.25">
      <c r="A10" s="5">
        <v>42072</v>
      </c>
      <c r="B10" s="7">
        <v>15041</v>
      </c>
      <c r="D10" s="6" t="s">
        <v>31</v>
      </c>
      <c r="E10" s="3">
        <v>276374</v>
      </c>
      <c r="G10" s="6" t="s">
        <v>59</v>
      </c>
      <c r="H10" s="3">
        <v>39198</v>
      </c>
    </row>
    <row r="11" spans="1:16" x14ac:dyDescent="0.25">
      <c r="A11" s="5">
        <v>42078</v>
      </c>
      <c r="B11" s="7">
        <v>35960</v>
      </c>
      <c r="D11" s="6" t="s">
        <v>47</v>
      </c>
      <c r="E11" s="3">
        <v>403990</v>
      </c>
      <c r="G11" s="6" t="s">
        <v>57</v>
      </c>
      <c r="H11" s="3">
        <v>51480</v>
      </c>
    </row>
    <row r="12" spans="1:16" x14ac:dyDescent="0.25">
      <c r="A12" s="5">
        <v>42090</v>
      </c>
      <c r="B12" s="7">
        <v>17117</v>
      </c>
      <c r="D12" s="6" t="s">
        <v>65</v>
      </c>
      <c r="E12" s="3">
        <v>3273249</v>
      </c>
      <c r="G12" s="6" t="s">
        <v>42</v>
      </c>
      <c r="H12" s="3">
        <v>100535</v>
      </c>
    </row>
    <row r="13" spans="1:16" x14ac:dyDescent="0.25">
      <c r="A13" s="5">
        <v>42092</v>
      </c>
      <c r="B13" s="7">
        <v>33627</v>
      </c>
      <c r="G13" s="6" t="s">
        <v>54</v>
      </c>
      <c r="H13" s="3">
        <v>57032</v>
      </c>
    </row>
    <row r="14" spans="1:16" x14ac:dyDescent="0.25">
      <c r="A14" s="5">
        <v>42101</v>
      </c>
      <c r="B14" s="7">
        <v>39508</v>
      </c>
      <c r="G14" s="6" t="s">
        <v>38</v>
      </c>
      <c r="H14" s="3">
        <v>168189</v>
      </c>
    </row>
    <row r="15" spans="1:16" x14ac:dyDescent="0.25">
      <c r="A15" s="5">
        <v>42111</v>
      </c>
      <c r="B15" s="7">
        <v>15503</v>
      </c>
      <c r="G15" s="6" t="s">
        <v>34</v>
      </c>
      <c r="H15" s="3">
        <v>424862</v>
      </c>
    </row>
    <row r="16" spans="1:16" x14ac:dyDescent="0.25">
      <c r="A16" s="5">
        <v>42126</v>
      </c>
      <c r="B16" s="7">
        <v>13197</v>
      </c>
      <c r="G16" s="6" t="s">
        <v>16</v>
      </c>
      <c r="H16" s="3">
        <v>276642</v>
      </c>
    </row>
    <row r="17" spans="1:8" x14ac:dyDescent="0.25">
      <c r="A17" s="5">
        <v>42155</v>
      </c>
      <c r="B17" s="7">
        <v>9524</v>
      </c>
      <c r="G17" s="6" t="s">
        <v>25</v>
      </c>
      <c r="H17" s="3">
        <v>446668</v>
      </c>
    </row>
    <row r="18" spans="1:8" x14ac:dyDescent="0.25">
      <c r="A18" s="5">
        <v>42169</v>
      </c>
      <c r="B18" s="7">
        <v>28208</v>
      </c>
      <c r="G18" s="6" t="s">
        <v>28</v>
      </c>
      <c r="H18" s="3">
        <v>126378</v>
      </c>
    </row>
    <row r="19" spans="1:8" x14ac:dyDescent="0.25">
      <c r="A19" s="5">
        <v>42174</v>
      </c>
      <c r="B19" s="7">
        <v>17005</v>
      </c>
      <c r="G19" s="6" t="s">
        <v>60</v>
      </c>
      <c r="H19" s="3">
        <v>10000</v>
      </c>
    </row>
    <row r="20" spans="1:8" x14ac:dyDescent="0.25">
      <c r="A20" s="5">
        <v>42176</v>
      </c>
      <c r="B20" s="7">
        <v>33575</v>
      </c>
      <c r="G20" s="6" t="s">
        <v>55</v>
      </c>
      <c r="H20" s="3">
        <v>76458</v>
      </c>
    </row>
    <row r="21" spans="1:8" x14ac:dyDescent="0.25">
      <c r="A21" s="5">
        <v>42178</v>
      </c>
      <c r="B21" s="7">
        <v>14616</v>
      </c>
      <c r="G21" s="6" t="s">
        <v>45</v>
      </c>
      <c r="H21" s="3">
        <v>269986</v>
      </c>
    </row>
    <row r="22" spans="1:8" x14ac:dyDescent="0.25">
      <c r="A22" s="5">
        <v>42201</v>
      </c>
      <c r="B22" s="7">
        <v>197020</v>
      </c>
      <c r="G22" s="6" t="s">
        <v>49</v>
      </c>
      <c r="H22" s="3">
        <v>272425</v>
      </c>
    </row>
    <row r="23" spans="1:8" x14ac:dyDescent="0.25">
      <c r="A23" s="5">
        <v>42203</v>
      </c>
      <c r="B23" s="7">
        <v>9323</v>
      </c>
      <c r="G23" s="6" t="s">
        <v>61</v>
      </c>
      <c r="H23" s="3">
        <v>29124</v>
      </c>
    </row>
    <row r="24" spans="1:8" x14ac:dyDescent="0.25">
      <c r="A24" s="5">
        <v>42204</v>
      </c>
      <c r="B24" s="7">
        <v>37790</v>
      </c>
      <c r="G24" s="6" t="s">
        <v>58</v>
      </c>
      <c r="H24" s="3">
        <v>17160</v>
      </c>
    </row>
    <row r="25" spans="1:8" x14ac:dyDescent="0.25">
      <c r="A25" s="5">
        <v>42206</v>
      </c>
      <c r="B25" s="7">
        <v>29305</v>
      </c>
      <c r="G25" s="6" t="s">
        <v>10</v>
      </c>
      <c r="H25" s="3">
        <v>210475</v>
      </c>
    </row>
    <row r="26" spans="1:8" x14ac:dyDescent="0.25">
      <c r="A26" s="5">
        <v>42208</v>
      </c>
      <c r="B26" s="7">
        <v>38870</v>
      </c>
      <c r="G26" s="6" t="s">
        <v>65</v>
      </c>
      <c r="H26" s="3">
        <v>3273249</v>
      </c>
    </row>
    <row r="27" spans="1:8" x14ac:dyDescent="0.25">
      <c r="A27" s="5">
        <v>42217</v>
      </c>
      <c r="B27" s="7">
        <v>39783</v>
      </c>
    </row>
    <row r="28" spans="1:8" x14ac:dyDescent="0.25">
      <c r="A28" s="5">
        <v>42221</v>
      </c>
      <c r="B28" s="7">
        <v>18498</v>
      </c>
    </row>
    <row r="29" spans="1:8" x14ac:dyDescent="0.25">
      <c r="A29" s="5">
        <v>42233</v>
      </c>
      <c r="B29" s="7">
        <v>22622</v>
      </c>
    </row>
    <row r="30" spans="1:8" x14ac:dyDescent="0.25">
      <c r="A30" s="5">
        <v>42250</v>
      </c>
      <c r="B30" s="7">
        <v>24050</v>
      </c>
    </row>
    <row r="31" spans="1:8" x14ac:dyDescent="0.25">
      <c r="A31" s="5">
        <v>42260</v>
      </c>
      <c r="B31" s="7">
        <v>40341</v>
      </c>
    </row>
    <row r="32" spans="1:8" x14ac:dyDescent="0.25">
      <c r="A32" s="5">
        <v>42263</v>
      </c>
      <c r="B32" s="7">
        <v>40983</v>
      </c>
    </row>
    <row r="33" spans="1:2" x14ac:dyDescent="0.25">
      <c r="A33" s="5">
        <v>42264</v>
      </c>
      <c r="B33" s="7">
        <v>35185</v>
      </c>
    </row>
    <row r="34" spans="1:2" x14ac:dyDescent="0.25">
      <c r="A34" s="5">
        <v>42272</v>
      </c>
      <c r="B34" s="7">
        <v>36234</v>
      </c>
    </row>
    <row r="35" spans="1:2" x14ac:dyDescent="0.25">
      <c r="A35" s="5">
        <v>42280</v>
      </c>
      <c r="B35" s="7">
        <v>19625</v>
      </c>
    </row>
    <row r="36" spans="1:2" x14ac:dyDescent="0.25">
      <c r="A36" s="5">
        <v>42283</v>
      </c>
      <c r="B36" s="7">
        <v>14924</v>
      </c>
    </row>
    <row r="37" spans="1:2" x14ac:dyDescent="0.25">
      <c r="A37" s="5">
        <v>42284</v>
      </c>
      <c r="B37" s="7">
        <v>25885</v>
      </c>
    </row>
    <row r="38" spans="1:2" x14ac:dyDescent="0.25">
      <c r="A38" s="5">
        <v>42288</v>
      </c>
      <c r="B38" s="7">
        <v>34581</v>
      </c>
    </row>
    <row r="39" spans="1:2" x14ac:dyDescent="0.25">
      <c r="A39" s="5">
        <v>42295</v>
      </c>
      <c r="B39" s="7">
        <v>19502</v>
      </c>
    </row>
    <row r="40" spans="1:2" x14ac:dyDescent="0.25">
      <c r="A40" s="5">
        <v>42296</v>
      </c>
      <c r="B40" s="7">
        <v>28537</v>
      </c>
    </row>
    <row r="41" spans="1:2" x14ac:dyDescent="0.25">
      <c r="A41" s="5">
        <v>42298</v>
      </c>
      <c r="B41" s="7">
        <v>28650</v>
      </c>
    </row>
    <row r="42" spans="1:2" x14ac:dyDescent="0.25">
      <c r="A42" s="5">
        <v>42304</v>
      </c>
      <c r="B42" s="7">
        <v>39307</v>
      </c>
    </row>
    <row r="43" spans="1:2" x14ac:dyDescent="0.25">
      <c r="A43" s="5">
        <v>42305</v>
      </c>
      <c r="B43" s="7">
        <v>23921</v>
      </c>
    </row>
    <row r="44" spans="1:2" x14ac:dyDescent="0.25">
      <c r="A44" s="5">
        <v>42312</v>
      </c>
      <c r="B44" s="7">
        <v>19796</v>
      </c>
    </row>
    <row r="45" spans="1:2" x14ac:dyDescent="0.25">
      <c r="A45" s="5">
        <v>42316</v>
      </c>
      <c r="B45" s="7">
        <v>26462</v>
      </c>
    </row>
    <row r="46" spans="1:2" x14ac:dyDescent="0.25">
      <c r="A46" s="5">
        <v>42337</v>
      </c>
      <c r="B46" s="7">
        <v>38310</v>
      </c>
    </row>
    <row r="47" spans="1:2" x14ac:dyDescent="0.25">
      <c r="A47" s="5">
        <v>42341</v>
      </c>
      <c r="B47" s="7">
        <v>32441</v>
      </c>
    </row>
    <row r="48" spans="1:2" x14ac:dyDescent="0.25">
      <c r="A48" s="5">
        <v>42342</v>
      </c>
      <c r="B48" s="7">
        <v>30848</v>
      </c>
    </row>
    <row r="49" spans="1:2" x14ac:dyDescent="0.25">
      <c r="A49" s="5">
        <v>42348</v>
      </c>
      <c r="B49" s="7">
        <v>38346</v>
      </c>
    </row>
    <row r="50" spans="1:2" x14ac:dyDescent="0.25">
      <c r="A50" s="5">
        <v>42350</v>
      </c>
      <c r="B50" s="7">
        <v>20283</v>
      </c>
    </row>
    <row r="51" spans="1:2" x14ac:dyDescent="0.25">
      <c r="A51" s="5">
        <v>42357</v>
      </c>
      <c r="B51" s="7">
        <v>38470</v>
      </c>
    </row>
    <row r="52" spans="1:2" x14ac:dyDescent="0.25">
      <c r="A52" s="5">
        <v>42367</v>
      </c>
      <c r="B52" s="7">
        <v>44700</v>
      </c>
    </row>
    <row r="53" spans="1:2" x14ac:dyDescent="0.25">
      <c r="A53" s="5">
        <v>42368</v>
      </c>
      <c r="B53" s="7">
        <v>36154</v>
      </c>
    </row>
    <row r="54" spans="1:2" x14ac:dyDescent="0.25">
      <c r="A54" s="5">
        <v>42397</v>
      </c>
      <c r="B54" s="7">
        <v>38472</v>
      </c>
    </row>
    <row r="55" spans="1:2" x14ac:dyDescent="0.25">
      <c r="A55" s="5">
        <v>42405</v>
      </c>
      <c r="B55" s="7">
        <v>77163</v>
      </c>
    </row>
    <row r="56" spans="1:2" x14ac:dyDescent="0.25">
      <c r="A56" s="5">
        <v>42406</v>
      </c>
      <c r="B56" s="7">
        <v>36375</v>
      </c>
    </row>
    <row r="57" spans="1:2" x14ac:dyDescent="0.25">
      <c r="A57" s="5">
        <v>42418</v>
      </c>
      <c r="B57" s="7">
        <v>13558</v>
      </c>
    </row>
    <row r="58" spans="1:2" x14ac:dyDescent="0.25">
      <c r="A58" s="5">
        <v>42432</v>
      </c>
      <c r="B58" s="7">
        <v>24024</v>
      </c>
    </row>
    <row r="59" spans="1:2" x14ac:dyDescent="0.25">
      <c r="A59" s="5">
        <v>42444</v>
      </c>
      <c r="B59" s="7">
        <v>16164</v>
      </c>
    </row>
    <row r="60" spans="1:2" x14ac:dyDescent="0.25">
      <c r="A60" s="5">
        <v>42445</v>
      </c>
      <c r="B60" s="7">
        <v>7882</v>
      </c>
    </row>
    <row r="61" spans="1:2" x14ac:dyDescent="0.25">
      <c r="A61" s="5">
        <v>42461</v>
      </c>
      <c r="B61" s="7">
        <v>10325</v>
      </c>
    </row>
    <row r="62" spans="1:2" x14ac:dyDescent="0.25">
      <c r="A62" s="5">
        <v>42462</v>
      </c>
      <c r="B62" s="7">
        <v>24987</v>
      </c>
    </row>
    <row r="63" spans="1:2" x14ac:dyDescent="0.25">
      <c r="A63" s="5">
        <v>42465</v>
      </c>
      <c r="B63" s="7">
        <v>25486</v>
      </c>
    </row>
    <row r="64" spans="1:2" x14ac:dyDescent="0.25">
      <c r="A64" s="5">
        <v>42469</v>
      </c>
      <c r="B64" s="7">
        <v>25919</v>
      </c>
    </row>
    <row r="65" spans="1:2" x14ac:dyDescent="0.25">
      <c r="A65" s="5">
        <v>42477</v>
      </c>
      <c r="B65" s="7">
        <v>40768</v>
      </c>
    </row>
    <row r="66" spans="1:2" x14ac:dyDescent="0.25">
      <c r="A66" s="5">
        <v>42485</v>
      </c>
      <c r="B66" s="7">
        <v>43622</v>
      </c>
    </row>
    <row r="67" spans="1:2" x14ac:dyDescent="0.25">
      <c r="A67" s="5">
        <v>42498</v>
      </c>
      <c r="B67" s="7">
        <v>37801</v>
      </c>
    </row>
    <row r="68" spans="1:2" x14ac:dyDescent="0.25">
      <c r="A68" s="5">
        <v>42504</v>
      </c>
      <c r="B68" s="7">
        <v>43597</v>
      </c>
    </row>
    <row r="69" spans="1:2" x14ac:dyDescent="0.25">
      <c r="A69" s="5">
        <v>42508</v>
      </c>
      <c r="B69" s="7">
        <v>13066</v>
      </c>
    </row>
    <row r="70" spans="1:2" x14ac:dyDescent="0.25">
      <c r="A70" s="5">
        <v>42517</v>
      </c>
      <c r="B70" s="7">
        <v>34459</v>
      </c>
    </row>
    <row r="71" spans="1:2" x14ac:dyDescent="0.25">
      <c r="A71" s="5">
        <v>42522</v>
      </c>
      <c r="B71" s="7">
        <v>21247</v>
      </c>
    </row>
    <row r="72" spans="1:2" x14ac:dyDescent="0.25">
      <c r="A72" s="5">
        <v>42528</v>
      </c>
      <c r="B72" s="7">
        <v>35787</v>
      </c>
    </row>
    <row r="73" spans="1:2" x14ac:dyDescent="0.25">
      <c r="A73" s="5">
        <v>42529</v>
      </c>
      <c r="B73" s="7">
        <v>43467</v>
      </c>
    </row>
    <row r="74" spans="1:2" x14ac:dyDescent="0.25">
      <c r="A74" s="5">
        <v>42535</v>
      </c>
      <c r="B74" s="7">
        <v>26130</v>
      </c>
    </row>
    <row r="75" spans="1:2" x14ac:dyDescent="0.25">
      <c r="A75" s="5">
        <v>42536</v>
      </c>
      <c r="B75" s="7">
        <v>23204</v>
      </c>
    </row>
    <row r="76" spans="1:2" x14ac:dyDescent="0.25">
      <c r="A76" s="5">
        <v>42539</v>
      </c>
      <c r="B76" s="7">
        <v>23874</v>
      </c>
    </row>
    <row r="77" spans="1:2" x14ac:dyDescent="0.25">
      <c r="A77" s="5">
        <v>42560</v>
      </c>
      <c r="B77" s="7">
        <v>11608</v>
      </c>
    </row>
    <row r="78" spans="1:2" x14ac:dyDescent="0.25">
      <c r="A78" s="5">
        <v>42576</v>
      </c>
      <c r="B78" s="7">
        <v>37597</v>
      </c>
    </row>
    <row r="79" spans="1:2" x14ac:dyDescent="0.25">
      <c r="A79" s="5">
        <v>42584</v>
      </c>
      <c r="B79" s="7">
        <v>29998</v>
      </c>
    </row>
    <row r="80" spans="1:2" x14ac:dyDescent="0.25">
      <c r="A80" s="5">
        <v>42586</v>
      </c>
      <c r="B80" s="7">
        <v>41264</v>
      </c>
    </row>
    <row r="81" spans="1:2" x14ac:dyDescent="0.25">
      <c r="A81" s="5">
        <v>42595</v>
      </c>
      <c r="B81" s="7">
        <v>42779</v>
      </c>
    </row>
    <row r="82" spans="1:2" x14ac:dyDescent="0.25">
      <c r="A82" s="5">
        <v>42596</v>
      </c>
      <c r="B82" s="7">
        <v>8126</v>
      </c>
    </row>
    <row r="83" spans="1:2" x14ac:dyDescent="0.25">
      <c r="A83" s="5">
        <v>42603</v>
      </c>
      <c r="B83" s="7">
        <v>28232</v>
      </c>
    </row>
    <row r="84" spans="1:2" x14ac:dyDescent="0.25">
      <c r="A84" s="5">
        <v>42606</v>
      </c>
      <c r="B84" s="7">
        <v>30791</v>
      </c>
    </row>
    <row r="85" spans="1:2" x14ac:dyDescent="0.25">
      <c r="A85" s="5">
        <v>42611</v>
      </c>
      <c r="B85" s="7">
        <v>37006</v>
      </c>
    </row>
    <row r="86" spans="1:2" x14ac:dyDescent="0.25">
      <c r="A86" s="5">
        <v>42612</v>
      </c>
      <c r="B86" s="7">
        <v>28563</v>
      </c>
    </row>
    <row r="87" spans="1:2" x14ac:dyDescent="0.25">
      <c r="A87" s="5">
        <v>42614</v>
      </c>
      <c r="B87" s="7">
        <v>14308</v>
      </c>
    </row>
    <row r="88" spans="1:2" x14ac:dyDescent="0.25">
      <c r="A88" s="5">
        <v>42633</v>
      </c>
      <c r="B88" s="7">
        <v>11080</v>
      </c>
    </row>
    <row r="89" spans="1:2" x14ac:dyDescent="0.25">
      <c r="A89" s="5">
        <v>42638</v>
      </c>
      <c r="B89" s="7">
        <v>25641</v>
      </c>
    </row>
    <row r="90" spans="1:2" x14ac:dyDescent="0.25">
      <c r="A90" s="5">
        <v>42645</v>
      </c>
      <c r="B90" s="7">
        <v>20160</v>
      </c>
    </row>
    <row r="91" spans="1:2" x14ac:dyDescent="0.25">
      <c r="A91" s="5">
        <v>42646</v>
      </c>
      <c r="B91" s="7">
        <v>16963</v>
      </c>
    </row>
    <row r="92" spans="1:2" x14ac:dyDescent="0.25">
      <c r="A92" s="5">
        <v>42662</v>
      </c>
      <c r="B92" s="7">
        <v>19737</v>
      </c>
    </row>
    <row r="93" spans="1:2" x14ac:dyDescent="0.25">
      <c r="A93" s="5">
        <v>42677</v>
      </c>
      <c r="B93" s="7">
        <v>39520</v>
      </c>
    </row>
    <row r="94" spans="1:2" x14ac:dyDescent="0.25">
      <c r="A94" s="5">
        <v>42683</v>
      </c>
      <c r="B94" s="7">
        <v>107872</v>
      </c>
    </row>
    <row r="95" spans="1:2" x14ac:dyDescent="0.25">
      <c r="A95" s="5">
        <v>42691</v>
      </c>
      <c r="B95" s="7">
        <v>26442</v>
      </c>
    </row>
    <row r="96" spans="1:2" x14ac:dyDescent="0.25">
      <c r="A96" s="5">
        <v>42697</v>
      </c>
      <c r="B96" s="7">
        <v>16066</v>
      </c>
    </row>
    <row r="97" spans="1:2" x14ac:dyDescent="0.25">
      <c r="A97" s="5">
        <v>42718</v>
      </c>
      <c r="B97" s="7">
        <v>5000</v>
      </c>
    </row>
    <row r="98" spans="1:2" x14ac:dyDescent="0.25">
      <c r="A98" s="5">
        <v>42721</v>
      </c>
      <c r="B98" s="7">
        <v>14525</v>
      </c>
    </row>
    <row r="99" spans="1:2" x14ac:dyDescent="0.25">
      <c r="A99" s="5">
        <v>42723</v>
      </c>
      <c r="B99" s="7">
        <v>10000</v>
      </c>
    </row>
    <row r="100" spans="1:2" x14ac:dyDescent="0.25">
      <c r="A100" s="5">
        <v>42724</v>
      </c>
      <c r="B100" s="7">
        <v>5000</v>
      </c>
    </row>
    <row r="101" spans="1:2" x14ac:dyDescent="0.25">
      <c r="A101" s="5">
        <v>42725</v>
      </c>
      <c r="B101" s="7">
        <v>2000</v>
      </c>
    </row>
    <row r="102" spans="1:2" x14ac:dyDescent="0.25">
      <c r="A102" s="5">
        <v>42726</v>
      </c>
      <c r="B102" s="7">
        <v>3000</v>
      </c>
    </row>
    <row r="103" spans="1:2" x14ac:dyDescent="0.25">
      <c r="A103" s="5">
        <v>42736</v>
      </c>
      <c r="B103" s="7">
        <v>399142</v>
      </c>
    </row>
    <row r="104" spans="1:2" x14ac:dyDescent="0.25">
      <c r="A104" s="5" t="s">
        <v>65</v>
      </c>
      <c r="B104" s="7">
        <v>3273249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H138"/>
  <sheetViews>
    <sheetView showGridLines="0" workbookViewId="0">
      <selection activeCell="B21" sqref="B21:B30"/>
    </sheetView>
  </sheetViews>
  <sheetFormatPr defaultRowHeight="15" x14ac:dyDescent="0.25"/>
  <cols>
    <col min="1" max="1" width="15.28515625" bestFit="1" customWidth="1"/>
    <col min="2" max="2" width="10.5703125" bestFit="1" customWidth="1"/>
    <col min="3" max="3" width="17.7109375" bestFit="1" customWidth="1"/>
    <col min="4" max="4" width="7.42578125" customWidth="1"/>
    <col min="5" max="5" width="15.85546875" style="1" customWidth="1"/>
    <col min="6" max="6" width="13.28515625" style="2" bestFit="1" customWidth="1"/>
    <col min="7" max="7" width="15.7109375" customWidth="1"/>
    <col min="8" max="8" width="22" bestFit="1" customWidth="1"/>
    <col min="9" max="9" width="11.5703125" customWidth="1"/>
    <col min="11" max="11" width="10.28515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s="2" t="s">
        <v>5</v>
      </c>
      <c r="G1" t="s">
        <v>6</v>
      </c>
      <c r="H1" t="s">
        <v>7</v>
      </c>
    </row>
    <row r="2" spans="1:8" hidden="1" x14ac:dyDescent="0.25">
      <c r="A2" t="s">
        <v>8</v>
      </c>
      <c r="B2" t="s">
        <v>9</v>
      </c>
      <c r="C2" t="s">
        <v>10</v>
      </c>
      <c r="D2" t="s">
        <v>11</v>
      </c>
      <c r="E2" s="1">
        <v>42485</v>
      </c>
      <c r="F2" s="2">
        <v>43622</v>
      </c>
      <c r="G2" t="s">
        <v>12</v>
      </c>
      <c r="H2" t="s">
        <v>13</v>
      </c>
    </row>
    <row r="3" spans="1:8" x14ac:dyDescent="0.25">
      <c r="A3" t="s">
        <v>14</v>
      </c>
      <c r="B3" t="s">
        <v>15</v>
      </c>
      <c r="C3" t="s">
        <v>16</v>
      </c>
      <c r="D3" t="s">
        <v>17</v>
      </c>
      <c r="E3" s="1">
        <v>42504</v>
      </c>
      <c r="F3" s="2">
        <v>43597</v>
      </c>
      <c r="G3" t="s">
        <v>18</v>
      </c>
      <c r="H3" t="s">
        <v>19</v>
      </c>
    </row>
    <row r="4" spans="1:8" x14ac:dyDescent="0.25">
      <c r="A4" t="s">
        <v>20</v>
      </c>
      <c r="B4" t="s">
        <v>15</v>
      </c>
      <c r="C4" t="s">
        <v>16</v>
      </c>
      <c r="D4" t="s">
        <v>17</v>
      </c>
      <c r="E4" s="1">
        <v>42529</v>
      </c>
      <c r="F4" s="2">
        <v>43467</v>
      </c>
      <c r="G4" t="s">
        <v>21</v>
      </c>
      <c r="H4" t="s">
        <v>19</v>
      </c>
    </row>
    <row r="5" spans="1:8" x14ac:dyDescent="0.25">
      <c r="A5" t="s">
        <v>14</v>
      </c>
      <c r="B5" t="s">
        <v>15</v>
      </c>
      <c r="C5" t="s">
        <v>16</v>
      </c>
      <c r="D5" t="s">
        <v>17</v>
      </c>
      <c r="E5" s="1">
        <v>42595</v>
      </c>
      <c r="F5" s="2">
        <v>42779</v>
      </c>
      <c r="G5" t="s">
        <v>22</v>
      </c>
      <c r="H5" t="s">
        <v>23</v>
      </c>
    </row>
    <row r="6" spans="1:8" hidden="1" x14ac:dyDescent="0.25">
      <c r="A6" t="s">
        <v>24</v>
      </c>
      <c r="B6" t="s">
        <v>9</v>
      </c>
      <c r="C6" t="s">
        <v>25</v>
      </c>
      <c r="D6" t="s">
        <v>26</v>
      </c>
      <c r="E6" s="1">
        <v>42201</v>
      </c>
      <c r="F6" s="2">
        <v>42126</v>
      </c>
      <c r="G6" t="s">
        <v>27</v>
      </c>
      <c r="H6" t="s">
        <v>13</v>
      </c>
    </row>
    <row r="7" spans="1:8" hidden="1" x14ac:dyDescent="0.25">
      <c r="A7" t="s">
        <v>24</v>
      </c>
      <c r="B7" t="s">
        <v>9</v>
      </c>
      <c r="C7" t="s">
        <v>28</v>
      </c>
      <c r="D7" t="s">
        <v>26</v>
      </c>
      <c r="E7" s="1">
        <v>42201</v>
      </c>
      <c r="F7" s="2">
        <v>42126</v>
      </c>
      <c r="G7" t="s">
        <v>27</v>
      </c>
      <c r="H7" t="s">
        <v>13</v>
      </c>
    </row>
    <row r="8" spans="1:8" hidden="1" x14ac:dyDescent="0.25">
      <c r="A8" t="s">
        <v>24</v>
      </c>
      <c r="B8" t="s">
        <v>9</v>
      </c>
      <c r="C8" t="s">
        <v>28</v>
      </c>
      <c r="D8" t="s">
        <v>26</v>
      </c>
      <c r="E8" s="1">
        <v>42201</v>
      </c>
      <c r="F8" s="2">
        <v>42126</v>
      </c>
      <c r="G8" t="s">
        <v>27</v>
      </c>
      <c r="H8" t="s">
        <v>13</v>
      </c>
    </row>
    <row r="9" spans="1:8" hidden="1" x14ac:dyDescent="0.25">
      <c r="A9" t="s">
        <v>24</v>
      </c>
      <c r="B9" t="s">
        <v>9</v>
      </c>
      <c r="C9" t="s">
        <v>28</v>
      </c>
      <c r="D9" t="s">
        <v>26</v>
      </c>
      <c r="E9" s="1">
        <v>42201</v>
      </c>
      <c r="F9" s="2">
        <v>42126</v>
      </c>
      <c r="G9" t="s">
        <v>27</v>
      </c>
      <c r="H9" t="s">
        <v>13</v>
      </c>
    </row>
    <row r="10" spans="1:8" hidden="1" x14ac:dyDescent="0.25">
      <c r="A10" t="s">
        <v>24</v>
      </c>
      <c r="B10" t="s">
        <v>29</v>
      </c>
      <c r="C10" t="s">
        <v>16</v>
      </c>
      <c r="D10" t="s">
        <v>17</v>
      </c>
      <c r="E10" s="1">
        <v>42725</v>
      </c>
      <c r="F10" s="2">
        <v>2000</v>
      </c>
      <c r="G10" t="s">
        <v>30</v>
      </c>
      <c r="H10" t="s">
        <v>31</v>
      </c>
    </row>
    <row r="11" spans="1:8" hidden="1" x14ac:dyDescent="0.25">
      <c r="A11" t="s">
        <v>32</v>
      </c>
      <c r="B11" t="s">
        <v>33</v>
      </c>
      <c r="C11" t="s">
        <v>34</v>
      </c>
      <c r="D11" t="s">
        <v>26</v>
      </c>
      <c r="E11" s="1">
        <v>42586</v>
      </c>
      <c r="F11" s="2">
        <v>41264</v>
      </c>
      <c r="G11" t="s">
        <v>22</v>
      </c>
      <c r="H11" t="s">
        <v>35</v>
      </c>
    </row>
    <row r="12" spans="1:8" hidden="1" x14ac:dyDescent="0.25">
      <c r="A12" t="s">
        <v>14</v>
      </c>
      <c r="B12" t="s">
        <v>33</v>
      </c>
      <c r="C12" t="s">
        <v>25</v>
      </c>
      <c r="D12" t="s">
        <v>26</v>
      </c>
      <c r="E12" s="1">
        <v>42263</v>
      </c>
      <c r="F12" s="2">
        <v>40983</v>
      </c>
      <c r="G12" t="s">
        <v>36</v>
      </c>
      <c r="H12" t="s">
        <v>23</v>
      </c>
    </row>
    <row r="13" spans="1:8" hidden="1" x14ac:dyDescent="0.25">
      <c r="A13" t="s">
        <v>24</v>
      </c>
      <c r="B13" t="s">
        <v>29</v>
      </c>
      <c r="C13" t="s">
        <v>16</v>
      </c>
      <c r="D13" t="s">
        <v>17</v>
      </c>
      <c r="E13" s="1">
        <v>42477</v>
      </c>
      <c r="F13" s="2">
        <v>40768</v>
      </c>
      <c r="G13" t="s">
        <v>12</v>
      </c>
      <c r="H13" t="s">
        <v>37</v>
      </c>
    </row>
    <row r="14" spans="1:8" hidden="1" x14ac:dyDescent="0.25">
      <c r="A14" t="s">
        <v>32</v>
      </c>
      <c r="B14" t="s">
        <v>33</v>
      </c>
      <c r="C14" t="s">
        <v>10</v>
      </c>
      <c r="D14" t="s">
        <v>11</v>
      </c>
      <c r="E14" s="1">
        <v>42260</v>
      </c>
      <c r="F14" s="2">
        <v>40341</v>
      </c>
      <c r="G14" t="s">
        <v>36</v>
      </c>
      <c r="H14" t="s">
        <v>37</v>
      </c>
    </row>
    <row r="15" spans="1:8" hidden="1" x14ac:dyDescent="0.25">
      <c r="A15" t="s">
        <v>24</v>
      </c>
      <c r="B15" t="s">
        <v>33</v>
      </c>
      <c r="C15" t="s">
        <v>38</v>
      </c>
      <c r="D15" t="s">
        <v>39</v>
      </c>
      <c r="E15" s="1">
        <v>42405</v>
      </c>
      <c r="F15" s="2">
        <v>40208</v>
      </c>
      <c r="G15" t="s">
        <v>40</v>
      </c>
      <c r="H15" t="s">
        <v>41</v>
      </c>
    </row>
    <row r="16" spans="1:8" hidden="1" x14ac:dyDescent="0.25">
      <c r="A16" t="s">
        <v>8</v>
      </c>
      <c r="B16" t="s">
        <v>29</v>
      </c>
      <c r="C16" t="s">
        <v>42</v>
      </c>
      <c r="D16" t="s">
        <v>11</v>
      </c>
      <c r="E16" s="1">
        <v>42217</v>
      </c>
      <c r="F16" s="2">
        <v>39783</v>
      </c>
      <c r="G16" t="s">
        <v>22</v>
      </c>
      <c r="H16" t="s">
        <v>31</v>
      </c>
    </row>
    <row r="17" spans="1:8" hidden="1" x14ac:dyDescent="0.25">
      <c r="A17" t="s">
        <v>24</v>
      </c>
      <c r="B17" t="s">
        <v>29</v>
      </c>
      <c r="C17" t="s">
        <v>43</v>
      </c>
      <c r="D17" t="s">
        <v>39</v>
      </c>
      <c r="E17" s="1">
        <v>42677</v>
      </c>
      <c r="F17" s="2">
        <v>39520</v>
      </c>
      <c r="G17" t="s">
        <v>44</v>
      </c>
      <c r="H17" t="s">
        <v>35</v>
      </c>
    </row>
    <row r="18" spans="1:8" hidden="1" x14ac:dyDescent="0.25">
      <c r="A18" t="s">
        <v>32</v>
      </c>
      <c r="B18" t="s">
        <v>9</v>
      </c>
      <c r="C18" t="s">
        <v>45</v>
      </c>
      <c r="D18" t="s">
        <v>39</v>
      </c>
      <c r="E18" s="1">
        <v>42101</v>
      </c>
      <c r="F18" s="2">
        <v>39508</v>
      </c>
      <c r="G18" t="s">
        <v>12</v>
      </c>
      <c r="H18" t="s">
        <v>41</v>
      </c>
    </row>
    <row r="19" spans="1:8" x14ac:dyDescent="0.25">
      <c r="A19" t="s">
        <v>32</v>
      </c>
      <c r="B19" t="s">
        <v>73</v>
      </c>
      <c r="C19" t="s">
        <v>34</v>
      </c>
      <c r="D19" t="s">
        <v>26</v>
      </c>
      <c r="E19" s="1">
        <v>42304</v>
      </c>
      <c r="F19" s="2">
        <v>39307</v>
      </c>
      <c r="G19" t="s">
        <v>46</v>
      </c>
      <c r="H19" t="s">
        <v>47</v>
      </c>
    </row>
    <row r="20" spans="1:8" hidden="1" x14ac:dyDescent="0.25">
      <c r="A20" t="s">
        <v>24</v>
      </c>
      <c r="B20" t="s">
        <v>29</v>
      </c>
      <c r="C20" t="s">
        <v>43</v>
      </c>
      <c r="D20" t="s">
        <v>39</v>
      </c>
      <c r="E20" s="1">
        <v>42683</v>
      </c>
      <c r="F20" s="2">
        <v>39232</v>
      </c>
      <c r="G20" t="s">
        <v>44</v>
      </c>
      <c r="H20" t="s">
        <v>13</v>
      </c>
    </row>
    <row r="21" spans="1:8" x14ac:dyDescent="0.25">
      <c r="A21" t="s">
        <v>8</v>
      </c>
      <c r="B21" t="s">
        <v>73</v>
      </c>
      <c r="C21" t="s">
        <v>10</v>
      </c>
      <c r="D21" t="s">
        <v>11</v>
      </c>
      <c r="E21" s="1">
        <v>42357</v>
      </c>
      <c r="F21" s="2">
        <v>38470</v>
      </c>
      <c r="G21" t="s">
        <v>30</v>
      </c>
      <c r="H21" t="s">
        <v>37</v>
      </c>
    </row>
    <row r="22" spans="1:8" hidden="1" x14ac:dyDescent="0.25">
      <c r="A22" t="s">
        <v>32</v>
      </c>
      <c r="B22" t="s">
        <v>9</v>
      </c>
      <c r="C22" t="s">
        <v>25</v>
      </c>
      <c r="D22" t="s">
        <v>26</v>
      </c>
      <c r="E22" s="1">
        <v>42348</v>
      </c>
      <c r="F22" s="2">
        <v>38346</v>
      </c>
      <c r="G22" t="s">
        <v>30</v>
      </c>
      <c r="H22" t="s">
        <v>19</v>
      </c>
    </row>
    <row r="23" spans="1:8" hidden="1" x14ac:dyDescent="0.25">
      <c r="A23" t="s">
        <v>14</v>
      </c>
      <c r="B23" t="s">
        <v>29</v>
      </c>
      <c r="C23" t="s">
        <v>48</v>
      </c>
      <c r="D23" t="s">
        <v>17</v>
      </c>
      <c r="E23" s="1">
        <v>42337</v>
      </c>
      <c r="F23" s="2">
        <v>38310</v>
      </c>
      <c r="G23" t="s">
        <v>44</v>
      </c>
      <c r="H23" t="s">
        <v>19</v>
      </c>
    </row>
    <row r="24" spans="1:8" hidden="1" x14ac:dyDescent="0.25">
      <c r="A24" t="s">
        <v>14</v>
      </c>
      <c r="B24" t="s">
        <v>33</v>
      </c>
      <c r="C24" t="s">
        <v>49</v>
      </c>
      <c r="D24" t="s">
        <v>11</v>
      </c>
      <c r="E24" s="1">
        <v>42498</v>
      </c>
      <c r="F24" s="2">
        <v>37801</v>
      </c>
      <c r="G24" t="s">
        <v>18</v>
      </c>
      <c r="H24" t="s">
        <v>47</v>
      </c>
    </row>
    <row r="25" spans="1:8" hidden="1" x14ac:dyDescent="0.25">
      <c r="A25" t="s">
        <v>32</v>
      </c>
      <c r="B25" t="s">
        <v>33</v>
      </c>
      <c r="C25" t="s">
        <v>25</v>
      </c>
      <c r="D25" t="s">
        <v>26</v>
      </c>
      <c r="E25" s="1">
        <v>42204</v>
      </c>
      <c r="F25" s="2">
        <v>37790</v>
      </c>
      <c r="G25" t="s">
        <v>27</v>
      </c>
      <c r="H25" t="s">
        <v>35</v>
      </c>
    </row>
    <row r="26" spans="1:8" hidden="1" x14ac:dyDescent="0.25">
      <c r="A26" t="s">
        <v>32</v>
      </c>
      <c r="B26" t="s">
        <v>33</v>
      </c>
      <c r="C26" t="s">
        <v>49</v>
      </c>
      <c r="D26" t="s">
        <v>11</v>
      </c>
      <c r="E26" s="1">
        <v>42576</v>
      </c>
      <c r="F26" s="2">
        <v>37597</v>
      </c>
      <c r="G26" t="s">
        <v>27</v>
      </c>
      <c r="H26" t="s">
        <v>13</v>
      </c>
    </row>
    <row r="27" spans="1:8" hidden="1" x14ac:dyDescent="0.25">
      <c r="A27" t="s">
        <v>32</v>
      </c>
      <c r="B27" t="s">
        <v>33</v>
      </c>
      <c r="C27" t="s">
        <v>25</v>
      </c>
      <c r="D27" t="s">
        <v>26</v>
      </c>
      <c r="E27" s="1">
        <v>42047</v>
      </c>
      <c r="F27" s="2">
        <v>37529</v>
      </c>
      <c r="G27" t="s">
        <v>40</v>
      </c>
      <c r="H27" t="s">
        <v>41</v>
      </c>
    </row>
    <row r="28" spans="1:8" x14ac:dyDescent="0.25">
      <c r="A28" t="s">
        <v>32</v>
      </c>
      <c r="B28" t="s">
        <v>73</v>
      </c>
      <c r="C28" t="s">
        <v>45</v>
      </c>
      <c r="D28" t="s">
        <v>39</v>
      </c>
      <c r="E28" s="1">
        <v>42611</v>
      </c>
      <c r="F28" s="2">
        <v>37006</v>
      </c>
      <c r="G28" t="s">
        <v>22</v>
      </c>
      <c r="H28" t="s">
        <v>13</v>
      </c>
    </row>
    <row r="29" spans="1:8" hidden="1" x14ac:dyDescent="0.25">
      <c r="A29" t="s">
        <v>8</v>
      </c>
      <c r="B29" t="s">
        <v>29</v>
      </c>
      <c r="C29" t="s">
        <v>50</v>
      </c>
      <c r="D29" t="s">
        <v>11</v>
      </c>
      <c r="E29" s="1">
        <v>42405</v>
      </c>
      <c r="F29" s="2">
        <v>36955</v>
      </c>
      <c r="G29" t="s">
        <v>40</v>
      </c>
      <c r="H29" t="s">
        <v>13</v>
      </c>
    </row>
    <row r="30" spans="1:8" x14ac:dyDescent="0.25">
      <c r="A30" t="s">
        <v>24</v>
      </c>
      <c r="B30" t="s">
        <v>73</v>
      </c>
      <c r="C30" t="s">
        <v>34</v>
      </c>
      <c r="D30" t="s">
        <v>26</v>
      </c>
      <c r="E30" s="1">
        <v>42406</v>
      </c>
      <c r="F30" s="2">
        <v>36375</v>
      </c>
      <c r="G30" t="s">
        <v>40</v>
      </c>
      <c r="H30" t="s">
        <v>47</v>
      </c>
    </row>
    <row r="31" spans="1:8" hidden="1" x14ac:dyDescent="0.25">
      <c r="A31" t="s">
        <v>32</v>
      </c>
      <c r="B31" t="s">
        <v>29</v>
      </c>
      <c r="C31" t="s">
        <v>48</v>
      </c>
      <c r="D31" t="s">
        <v>17</v>
      </c>
      <c r="E31" s="1">
        <v>42718</v>
      </c>
      <c r="F31" s="2">
        <v>5000</v>
      </c>
      <c r="G31" t="s">
        <v>30</v>
      </c>
      <c r="H31" t="s">
        <v>47</v>
      </c>
    </row>
    <row r="32" spans="1:8" x14ac:dyDescent="0.25">
      <c r="A32" t="s">
        <v>24</v>
      </c>
      <c r="B32" t="s">
        <v>15</v>
      </c>
      <c r="C32" t="s">
        <v>16</v>
      </c>
      <c r="D32" t="s">
        <v>17</v>
      </c>
      <c r="E32" s="1">
        <v>42272</v>
      </c>
      <c r="F32" s="2">
        <v>36234</v>
      </c>
      <c r="G32" t="s">
        <v>36</v>
      </c>
      <c r="H32" t="s">
        <v>13</v>
      </c>
    </row>
    <row r="33" spans="1:8" hidden="1" x14ac:dyDescent="0.25">
      <c r="A33" t="s">
        <v>14</v>
      </c>
      <c r="B33" t="s">
        <v>29</v>
      </c>
      <c r="C33" t="s">
        <v>34</v>
      </c>
      <c r="D33" t="s">
        <v>26</v>
      </c>
      <c r="E33" s="1">
        <v>42368</v>
      </c>
      <c r="F33" s="2">
        <v>36154</v>
      </c>
      <c r="G33" t="s">
        <v>30</v>
      </c>
      <c r="H33" t="s">
        <v>47</v>
      </c>
    </row>
    <row r="34" spans="1:8" x14ac:dyDescent="0.25">
      <c r="A34" t="s">
        <v>32</v>
      </c>
      <c r="B34" t="s">
        <v>15</v>
      </c>
      <c r="C34" t="s">
        <v>45</v>
      </c>
      <c r="D34" t="s">
        <v>39</v>
      </c>
      <c r="E34" s="1">
        <v>42367</v>
      </c>
      <c r="F34" s="2">
        <v>36082</v>
      </c>
      <c r="G34" t="s">
        <v>30</v>
      </c>
      <c r="H34" t="s">
        <v>35</v>
      </c>
    </row>
    <row r="35" spans="1:8" hidden="1" x14ac:dyDescent="0.25">
      <c r="A35" t="s">
        <v>32</v>
      </c>
      <c r="B35" t="s">
        <v>33</v>
      </c>
      <c r="C35" t="s">
        <v>10</v>
      </c>
      <c r="D35" t="s">
        <v>11</v>
      </c>
      <c r="E35" s="1">
        <v>42078</v>
      </c>
      <c r="F35" s="2">
        <v>35960</v>
      </c>
      <c r="G35" t="s">
        <v>51</v>
      </c>
      <c r="H35" t="s">
        <v>31</v>
      </c>
    </row>
    <row r="36" spans="1:8" hidden="1" x14ac:dyDescent="0.25">
      <c r="A36" t="s">
        <v>32</v>
      </c>
      <c r="B36" t="s">
        <v>33</v>
      </c>
      <c r="C36" t="s">
        <v>43</v>
      </c>
      <c r="D36" t="s">
        <v>39</v>
      </c>
      <c r="E36" s="1">
        <v>42528</v>
      </c>
      <c r="F36" s="2">
        <v>35787</v>
      </c>
      <c r="G36" t="s">
        <v>21</v>
      </c>
      <c r="H36" t="s">
        <v>13</v>
      </c>
    </row>
    <row r="37" spans="1:8" hidden="1" x14ac:dyDescent="0.25">
      <c r="A37" t="s">
        <v>32</v>
      </c>
      <c r="B37" t="s">
        <v>29</v>
      </c>
      <c r="C37" t="s">
        <v>25</v>
      </c>
      <c r="D37" t="s">
        <v>26</v>
      </c>
      <c r="E37" s="1">
        <v>42264</v>
      </c>
      <c r="F37" s="2">
        <v>35185</v>
      </c>
      <c r="G37" t="s">
        <v>36</v>
      </c>
      <c r="H37" t="s">
        <v>41</v>
      </c>
    </row>
    <row r="38" spans="1:8" hidden="1" x14ac:dyDescent="0.25">
      <c r="A38" t="s">
        <v>24</v>
      </c>
      <c r="B38" t="s">
        <v>29</v>
      </c>
      <c r="C38" t="s">
        <v>49</v>
      </c>
      <c r="D38" t="s">
        <v>11</v>
      </c>
      <c r="E38" s="1">
        <v>42041</v>
      </c>
      <c r="F38" s="2">
        <v>35138</v>
      </c>
      <c r="G38" t="s">
        <v>40</v>
      </c>
      <c r="H38" t="s">
        <v>37</v>
      </c>
    </row>
    <row r="39" spans="1:8" hidden="1" x14ac:dyDescent="0.25">
      <c r="A39" t="s">
        <v>32</v>
      </c>
      <c r="B39" t="s">
        <v>29</v>
      </c>
      <c r="C39" t="s">
        <v>45</v>
      </c>
      <c r="D39" t="s">
        <v>39</v>
      </c>
      <c r="E39" s="1">
        <v>42288</v>
      </c>
      <c r="F39" s="2">
        <v>34581</v>
      </c>
      <c r="G39" t="s">
        <v>46</v>
      </c>
      <c r="H39" t="s">
        <v>13</v>
      </c>
    </row>
    <row r="40" spans="1:8" hidden="1" x14ac:dyDescent="0.25">
      <c r="A40" t="s">
        <v>32</v>
      </c>
      <c r="B40" t="s">
        <v>9</v>
      </c>
      <c r="C40" t="s">
        <v>50</v>
      </c>
      <c r="D40" t="s">
        <v>11</v>
      </c>
      <c r="E40" s="1">
        <v>42517</v>
      </c>
      <c r="F40" s="2">
        <v>34459</v>
      </c>
      <c r="G40" t="s">
        <v>18</v>
      </c>
      <c r="H40" t="s">
        <v>47</v>
      </c>
    </row>
    <row r="41" spans="1:8" x14ac:dyDescent="0.25">
      <c r="A41" t="s">
        <v>24</v>
      </c>
      <c r="B41" t="s">
        <v>15</v>
      </c>
      <c r="C41" t="s">
        <v>34</v>
      </c>
      <c r="D41" t="s">
        <v>26</v>
      </c>
      <c r="E41" s="1">
        <v>42092</v>
      </c>
      <c r="F41" s="2">
        <v>33627</v>
      </c>
      <c r="G41" t="s">
        <v>51</v>
      </c>
      <c r="H41" t="s">
        <v>13</v>
      </c>
    </row>
    <row r="42" spans="1:8" hidden="1" x14ac:dyDescent="0.25">
      <c r="A42" t="s">
        <v>14</v>
      </c>
      <c r="B42" t="s">
        <v>9</v>
      </c>
      <c r="C42" t="s">
        <v>45</v>
      </c>
      <c r="D42" t="s">
        <v>39</v>
      </c>
      <c r="E42" s="1">
        <v>42176</v>
      </c>
      <c r="F42" s="2">
        <v>33575</v>
      </c>
      <c r="G42" t="s">
        <v>21</v>
      </c>
      <c r="H42" t="s">
        <v>13</v>
      </c>
    </row>
    <row r="43" spans="1:8" hidden="1" x14ac:dyDescent="0.25">
      <c r="A43" t="s">
        <v>14</v>
      </c>
      <c r="B43" t="s">
        <v>29</v>
      </c>
      <c r="C43" t="s">
        <v>25</v>
      </c>
      <c r="D43" t="s">
        <v>26</v>
      </c>
      <c r="E43" s="1">
        <v>42341</v>
      </c>
      <c r="F43" s="2">
        <v>32441</v>
      </c>
      <c r="G43" t="s">
        <v>30</v>
      </c>
      <c r="H43" t="s">
        <v>13</v>
      </c>
    </row>
    <row r="44" spans="1:8" hidden="1" x14ac:dyDescent="0.25">
      <c r="A44" t="s">
        <v>32</v>
      </c>
      <c r="B44" t="s">
        <v>33</v>
      </c>
      <c r="C44" t="s">
        <v>25</v>
      </c>
      <c r="D44" t="s">
        <v>26</v>
      </c>
      <c r="E44" s="1">
        <v>42342</v>
      </c>
      <c r="F44" s="2">
        <v>30848</v>
      </c>
      <c r="G44" t="s">
        <v>30</v>
      </c>
      <c r="H44" t="s">
        <v>47</v>
      </c>
    </row>
    <row r="45" spans="1:8" hidden="1" x14ac:dyDescent="0.25">
      <c r="A45" t="s">
        <v>20</v>
      </c>
      <c r="B45" t="s">
        <v>9</v>
      </c>
      <c r="C45" t="s">
        <v>43</v>
      </c>
      <c r="D45" t="s">
        <v>39</v>
      </c>
      <c r="E45" s="1">
        <v>42606</v>
      </c>
      <c r="F45" s="2">
        <v>30791</v>
      </c>
      <c r="G45" t="s">
        <v>22</v>
      </c>
      <c r="H45" t="s">
        <v>23</v>
      </c>
    </row>
    <row r="46" spans="1:8" hidden="1" x14ac:dyDescent="0.25">
      <c r="A46" t="s">
        <v>32</v>
      </c>
      <c r="B46" t="s">
        <v>29</v>
      </c>
      <c r="C46" t="s">
        <v>38</v>
      </c>
      <c r="D46" t="s">
        <v>39</v>
      </c>
      <c r="E46" s="1">
        <v>42584</v>
      </c>
      <c r="F46" s="2">
        <v>29998</v>
      </c>
      <c r="G46" t="s">
        <v>22</v>
      </c>
      <c r="H46" t="s">
        <v>13</v>
      </c>
    </row>
    <row r="47" spans="1:8" x14ac:dyDescent="0.25">
      <c r="A47" t="s">
        <v>14</v>
      </c>
      <c r="B47" t="s">
        <v>15</v>
      </c>
      <c r="C47" t="s">
        <v>16</v>
      </c>
      <c r="D47" t="s">
        <v>17</v>
      </c>
      <c r="E47" s="1">
        <v>42206</v>
      </c>
      <c r="F47" s="2">
        <v>29305</v>
      </c>
      <c r="G47" t="s">
        <v>27</v>
      </c>
      <c r="H47" t="s">
        <v>13</v>
      </c>
    </row>
    <row r="48" spans="1:8" hidden="1" x14ac:dyDescent="0.25">
      <c r="A48" t="s">
        <v>24</v>
      </c>
      <c r="B48" t="s">
        <v>9</v>
      </c>
      <c r="C48" t="s">
        <v>25</v>
      </c>
      <c r="D48" t="s">
        <v>26</v>
      </c>
      <c r="E48" s="1">
        <v>42723</v>
      </c>
      <c r="F48" s="2">
        <v>10000</v>
      </c>
      <c r="G48" t="s">
        <v>30</v>
      </c>
      <c r="H48" t="s">
        <v>31</v>
      </c>
    </row>
    <row r="49" spans="1:8" hidden="1" x14ac:dyDescent="0.25">
      <c r="A49" t="s">
        <v>14</v>
      </c>
      <c r="B49" t="s">
        <v>33</v>
      </c>
      <c r="C49" t="s">
        <v>48</v>
      </c>
      <c r="D49" t="s">
        <v>17</v>
      </c>
      <c r="E49" s="1">
        <v>42298</v>
      </c>
      <c r="F49" s="2">
        <v>28650</v>
      </c>
      <c r="G49" t="s">
        <v>46</v>
      </c>
      <c r="H49" t="s">
        <v>41</v>
      </c>
    </row>
    <row r="50" spans="1:8" hidden="1" x14ac:dyDescent="0.25">
      <c r="A50" t="s">
        <v>24</v>
      </c>
      <c r="B50" t="s">
        <v>9</v>
      </c>
      <c r="C50" t="s">
        <v>34</v>
      </c>
      <c r="D50" t="s">
        <v>26</v>
      </c>
      <c r="E50" s="1">
        <v>42612</v>
      </c>
      <c r="F50" s="2">
        <v>28563</v>
      </c>
      <c r="G50" t="s">
        <v>22</v>
      </c>
      <c r="H50" t="s">
        <v>31</v>
      </c>
    </row>
    <row r="51" spans="1:8" hidden="1" x14ac:dyDescent="0.25">
      <c r="A51" t="s">
        <v>14</v>
      </c>
      <c r="B51" t="s">
        <v>29</v>
      </c>
      <c r="C51" t="s">
        <v>48</v>
      </c>
      <c r="D51" t="s">
        <v>17</v>
      </c>
      <c r="E51" s="1">
        <v>42296</v>
      </c>
      <c r="F51" s="2">
        <v>28537</v>
      </c>
      <c r="G51" t="s">
        <v>46</v>
      </c>
      <c r="H51" t="s">
        <v>13</v>
      </c>
    </row>
    <row r="52" spans="1:8" hidden="1" x14ac:dyDescent="0.25">
      <c r="A52" t="s">
        <v>14</v>
      </c>
      <c r="B52" t="s">
        <v>29</v>
      </c>
      <c r="C52" t="s">
        <v>52</v>
      </c>
      <c r="D52" t="s">
        <v>17</v>
      </c>
      <c r="E52" s="1">
        <v>42736</v>
      </c>
      <c r="F52" s="2">
        <v>28537</v>
      </c>
      <c r="G52" t="s">
        <v>53</v>
      </c>
      <c r="H52" t="s">
        <v>13</v>
      </c>
    </row>
    <row r="53" spans="1:8" hidden="1" x14ac:dyDescent="0.25">
      <c r="A53" t="s">
        <v>14</v>
      </c>
      <c r="B53" t="s">
        <v>29</v>
      </c>
      <c r="C53" t="s">
        <v>52</v>
      </c>
      <c r="D53" t="s">
        <v>17</v>
      </c>
      <c r="E53" s="1">
        <v>42736</v>
      </c>
      <c r="F53" s="2">
        <v>28537</v>
      </c>
      <c r="G53" t="s">
        <v>53</v>
      </c>
      <c r="H53" t="s">
        <v>13</v>
      </c>
    </row>
    <row r="54" spans="1:8" hidden="1" x14ac:dyDescent="0.25">
      <c r="A54" t="s">
        <v>32</v>
      </c>
      <c r="B54" t="s">
        <v>29</v>
      </c>
      <c r="C54" t="s">
        <v>25</v>
      </c>
      <c r="D54" t="s">
        <v>26</v>
      </c>
      <c r="E54" s="1">
        <v>42201</v>
      </c>
      <c r="F54" s="2">
        <v>28516</v>
      </c>
      <c r="G54" t="s">
        <v>27</v>
      </c>
      <c r="H54" t="s">
        <v>35</v>
      </c>
    </row>
    <row r="55" spans="1:8" hidden="1" x14ac:dyDescent="0.25">
      <c r="A55" t="s">
        <v>32</v>
      </c>
      <c r="B55" t="s">
        <v>29</v>
      </c>
      <c r="C55" t="s">
        <v>54</v>
      </c>
      <c r="D55" t="s">
        <v>26</v>
      </c>
      <c r="E55" s="1">
        <v>42736</v>
      </c>
      <c r="F55" s="2">
        <v>28516</v>
      </c>
      <c r="G55" t="s">
        <v>53</v>
      </c>
      <c r="H55" t="s">
        <v>35</v>
      </c>
    </row>
    <row r="56" spans="1:8" hidden="1" x14ac:dyDescent="0.25">
      <c r="A56" t="s">
        <v>32</v>
      </c>
      <c r="B56" t="s">
        <v>29</v>
      </c>
      <c r="C56" t="s">
        <v>54</v>
      </c>
      <c r="D56" t="s">
        <v>26</v>
      </c>
      <c r="E56" s="1">
        <v>42736</v>
      </c>
      <c r="F56" s="2">
        <v>28516</v>
      </c>
      <c r="G56" t="s">
        <v>53</v>
      </c>
      <c r="H56" t="s">
        <v>35</v>
      </c>
    </row>
    <row r="57" spans="1:8" hidden="1" x14ac:dyDescent="0.25">
      <c r="A57" t="s">
        <v>14</v>
      </c>
      <c r="B57" t="s">
        <v>9</v>
      </c>
      <c r="C57" t="s">
        <v>25</v>
      </c>
      <c r="D57" t="s">
        <v>26</v>
      </c>
      <c r="E57" s="1">
        <v>42397</v>
      </c>
      <c r="F57" s="2">
        <v>28472</v>
      </c>
      <c r="G57" t="s">
        <v>53</v>
      </c>
      <c r="H57" t="s">
        <v>19</v>
      </c>
    </row>
    <row r="58" spans="1:8" hidden="1" x14ac:dyDescent="0.25">
      <c r="A58" t="s">
        <v>32</v>
      </c>
      <c r="B58" t="s">
        <v>33</v>
      </c>
      <c r="C58" t="s">
        <v>34</v>
      </c>
      <c r="D58" t="s">
        <v>26</v>
      </c>
      <c r="E58" s="1">
        <v>42603</v>
      </c>
      <c r="F58" s="2">
        <v>28232</v>
      </c>
      <c r="G58" t="s">
        <v>22</v>
      </c>
      <c r="H58" t="s">
        <v>47</v>
      </c>
    </row>
    <row r="59" spans="1:8" hidden="1" x14ac:dyDescent="0.25">
      <c r="A59" t="s">
        <v>8</v>
      </c>
      <c r="B59" t="s">
        <v>9</v>
      </c>
      <c r="C59" t="s">
        <v>10</v>
      </c>
      <c r="D59" t="s">
        <v>11</v>
      </c>
      <c r="E59" s="1">
        <v>42169</v>
      </c>
      <c r="F59" s="2">
        <v>28208</v>
      </c>
      <c r="G59" t="s">
        <v>21</v>
      </c>
      <c r="H59" t="s">
        <v>37</v>
      </c>
    </row>
    <row r="60" spans="1:8" x14ac:dyDescent="0.25">
      <c r="A60" t="s">
        <v>32</v>
      </c>
      <c r="B60" t="s">
        <v>15</v>
      </c>
      <c r="C60" t="s">
        <v>34</v>
      </c>
      <c r="D60" t="s">
        <v>26</v>
      </c>
      <c r="E60" s="1">
        <v>42316</v>
      </c>
      <c r="F60" s="2">
        <v>26462</v>
      </c>
      <c r="G60" t="s">
        <v>44</v>
      </c>
      <c r="H60" t="s">
        <v>41</v>
      </c>
    </row>
    <row r="61" spans="1:8" hidden="1" x14ac:dyDescent="0.25">
      <c r="A61" t="s">
        <v>14</v>
      </c>
      <c r="B61" t="s">
        <v>9</v>
      </c>
      <c r="C61" t="s">
        <v>49</v>
      </c>
      <c r="D61" t="s">
        <v>11</v>
      </c>
      <c r="E61" s="1">
        <v>42691</v>
      </c>
      <c r="F61" s="2">
        <v>26442</v>
      </c>
      <c r="G61" t="s">
        <v>44</v>
      </c>
      <c r="H61" t="s">
        <v>47</v>
      </c>
    </row>
    <row r="62" spans="1:8" hidden="1" x14ac:dyDescent="0.25">
      <c r="A62" t="s">
        <v>24</v>
      </c>
      <c r="B62" t="s">
        <v>9</v>
      </c>
      <c r="C62" t="s">
        <v>34</v>
      </c>
      <c r="D62" t="s">
        <v>26</v>
      </c>
      <c r="E62" s="1">
        <v>42535</v>
      </c>
      <c r="F62" s="2">
        <v>26130</v>
      </c>
      <c r="G62" t="s">
        <v>21</v>
      </c>
      <c r="H62" t="s">
        <v>13</v>
      </c>
    </row>
    <row r="63" spans="1:8" x14ac:dyDescent="0.25">
      <c r="A63" t="s">
        <v>14</v>
      </c>
      <c r="B63" t="s">
        <v>15</v>
      </c>
      <c r="C63" t="s">
        <v>34</v>
      </c>
      <c r="D63" t="s">
        <v>26</v>
      </c>
      <c r="E63" s="1">
        <v>42284</v>
      </c>
      <c r="F63" s="2">
        <v>25885</v>
      </c>
      <c r="G63" t="s">
        <v>46</v>
      </c>
      <c r="H63" t="s">
        <v>35</v>
      </c>
    </row>
    <row r="64" spans="1:8" x14ac:dyDescent="0.25">
      <c r="A64" t="s">
        <v>14</v>
      </c>
      <c r="B64" t="s">
        <v>15</v>
      </c>
      <c r="C64" t="s">
        <v>45</v>
      </c>
      <c r="D64" t="s">
        <v>39</v>
      </c>
      <c r="E64" s="1">
        <v>42638</v>
      </c>
      <c r="F64" s="2">
        <v>25641</v>
      </c>
      <c r="G64" t="s">
        <v>36</v>
      </c>
      <c r="H64" t="s">
        <v>13</v>
      </c>
    </row>
    <row r="65" spans="1:8" hidden="1" x14ac:dyDescent="0.25">
      <c r="A65" t="s">
        <v>14</v>
      </c>
      <c r="B65" t="s">
        <v>9</v>
      </c>
      <c r="C65" t="s">
        <v>49</v>
      </c>
      <c r="D65" t="s">
        <v>11</v>
      </c>
      <c r="E65" s="1">
        <v>42465</v>
      </c>
      <c r="F65" s="2">
        <v>25486</v>
      </c>
      <c r="G65" t="s">
        <v>12</v>
      </c>
      <c r="H65" t="s">
        <v>41</v>
      </c>
    </row>
    <row r="66" spans="1:8" hidden="1" x14ac:dyDescent="0.25">
      <c r="A66" t="s">
        <v>14</v>
      </c>
      <c r="B66" t="s">
        <v>9</v>
      </c>
      <c r="C66" t="s">
        <v>49</v>
      </c>
      <c r="D66" t="s">
        <v>11</v>
      </c>
      <c r="E66" s="1">
        <v>42736</v>
      </c>
      <c r="F66" s="2">
        <v>25486</v>
      </c>
      <c r="G66" t="s">
        <v>53</v>
      </c>
      <c r="H66" t="s">
        <v>41</v>
      </c>
    </row>
    <row r="67" spans="1:8" hidden="1" x14ac:dyDescent="0.25">
      <c r="A67" t="s">
        <v>14</v>
      </c>
      <c r="B67" t="s">
        <v>9</v>
      </c>
      <c r="C67" t="s">
        <v>55</v>
      </c>
      <c r="D67" t="s">
        <v>11</v>
      </c>
      <c r="E67" s="1">
        <v>42736</v>
      </c>
      <c r="F67" s="2">
        <v>25486</v>
      </c>
      <c r="G67" t="s">
        <v>53</v>
      </c>
      <c r="H67" t="s">
        <v>41</v>
      </c>
    </row>
    <row r="68" spans="1:8" hidden="1" x14ac:dyDescent="0.25">
      <c r="A68" t="s">
        <v>14</v>
      </c>
      <c r="B68" t="s">
        <v>9</v>
      </c>
      <c r="C68" t="s">
        <v>55</v>
      </c>
      <c r="D68" t="s">
        <v>11</v>
      </c>
      <c r="E68" s="1">
        <v>42736</v>
      </c>
      <c r="F68" s="2">
        <v>25486</v>
      </c>
      <c r="G68" t="s">
        <v>53</v>
      </c>
      <c r="H68" t="s">
        <v>41</v>
      </c>
    </row>
    <row r="69" spans="1:8" hidden="1" x14ac:dyDescent="0.25">
      <c r="A69" t="s">
        <v>14</v>
      </c>
      <c r="B69" t="s">
        <v>9</v>
      </c>
      <c r="C69" t="s">
        <v>55</v>
      </c>
      <c r="D69" t="s">
        <v>11</v>
      </c>
      <c r="E69" s="1">
        <v>42736</v>
      </c>
      <c r="F69" s="2">
        <v>25486</v>
      </c>
      <c r="G69" t="s">
        <v>53</v>
      </c>
      <c r="H69" t="s">
        <v>41</v>
      </c>
    </row>
    <row r="70" spans="1:8" hidden="1" x14ac:dyDescent="0.25">
      <c r="A70" t="s">
        <v>14</v>
      </c>
      <c r="B70" t="s">
        <v>33</v>
      </c>
      <c r="C70" t="s">
        <v>48</v>
      </c>
      <c r="D70" t="s">
        <v>17</v>
      </c>
      <c r="E70" s="1">
        <v>42462</v>
      </c>
      <c r="F70" s="2">
        <v>24987</v>
      </c>
      <c r="G70" t="s">
        <v>12</v>
      </c>
      <c r="H70" t="s">
        <v>19</v>
      </c>
    </row>
    <row r="71" spans="1:8" x14ac:dyDescent="0.25">
      <c r="A71" t="s">
        <v>24</v>
      </c>
      <c r="B71" t="s">
        <v>15</v>
      </c>
      <c r="C71" t="s">
        <v>16</v>
      </c>
      <c r="D71" t="s">
        <v>17</v>
      </c>
      <c r="E71" s="1">
        <v>42724</v>
      </c>
      <c r="F71" s="2">
        <v>5000</v>
      </c>
      <c r="G71" t="s">
        <v>30</v>
      </c>
      <c r="H71" t="s">
        <v>31</v>
      </c>
    </row>
    <row r="72" spans="1:8" hidden="1" x14ac:dyDescent="0.25">
      <c r="A72" t="s">
        <v>20</v>
      </c>
      <c r="B72" t="s">
        <v>33</v>
      </c>
      <c r="C72" t="s">
        <v>38</v>
      </c>
      <c r="D72" t="s">
        <v>39</v>
      </c>
      <c r="E72" s="1">
        <v>42025</v>
      </c>
      <c r="F72" s="2">
        <v>24094</v>
      </c>
      <c r="G72" t="s">
        <v>53</v>
      </c>
      <c r="H72" t="s">
        <v>13</v>
      </c>
    </row>
    <row r="73" spans="1:8" hidden="1" x14ac:dyDescent="0.25">
      <c r="A73" t="s">
        <v>24</v>
      </c>
      <c r="B73" t="s">
        <v>29</v>
      </c>
      <c r="C73" t="s">
        <v>42</v>
      </c>
      <c r="D73" t="s">
        <v>11</v>
      </c>
      <c r="E73" s="1">
        <v>42250</v>
      </c>
      <c r="F73" s="2">
        <v>24050</v>
      </c>
      <c r="G73" t="s">
        <v>36</v>
      </c>
      <c r="H73" t="s">
        <v>41</v>
      </c>
    </row>
    <row r="74" spans="1:8" hidden="1" x14ac:dyDescent="0.25">
      <c r="A74" t="s">
        <v>14</v>
      </c>
      <c r="B74" t="s">
        <v>9</v>
      </c>
      <c r="C74" t="s">
        <v>25</v>
      </c>
      <c r="D74" t="s">
        <v>26</v>
      </c>
      <c r="E74" s="1">
        <v>42432</v>
      </c>
      <c r="F74" s="2">
        <v>24024</v>
      </c>
      <c r="G74" t="s">
        <v>51</v>
      </c>
      <c r="H74" t="s">
        <v>23</v>
      </c>
    </row>
    <row r="75" spans="1:8" hidden="1" x14ac:dyDescent="0.25">
      <c r="A75" t="s">
        <v>32</v>
      </c>
      <c r="B75" t="s">
        <v>9</v>
      </c>
      <c r="C75" t="s">
        <v>45</v>
      </c>
      <c r="D75" t="s">
        <v>39</v>
      </c>
      <c r="E75" s="1">
        <v>42305</v>
      </c>
      <c r="F75" s="2">
        <v>23921</v>
      </c>
      <c r="G75" t="s">
        <v>46</v>
      </c>
      <c r="H75" t="s">
        <v>35</v>
      </c>
    </row>
    <row r="76" spans="1:8" x14ac:dyDescent="0.25">
      <c r="A76" t="s">
        <v>8</v>
      </c>
      <c r="B76" t="s">
        <v>15</v>
      </c>
      <c r="C76" t="s">
        <v>10</v>
      </c>
      <c r="D76" t="s">
        <v>11</v>
      </c>
      <c r="E76" s="1">
        <v>42539</v>
      </c>
      <c r="F76" s="2">
        <v>23874</v>
      </c>
      <c r="G76" t="s">
        <v>21</v>
      </c>
      <c r="H76" t="s">
        <v>31</v>
      </c>
    </row>
    <row r="77" spans="1:8" hidden="1" x14ac:dyDescent="0.25">
      <c r="A77" t="s">
        <v>14</v>
      </c>
      <c r="B77" t="s">
        <v>33</v>
      </c>
      <c r="C77" t="s">
        <v>49</v>
      </c>
      <c r="D77" t="s">
        <v>11</v>
      </c>
      <c r="E77" s="1">
        <v>42536</v>
      </c>
      <c r="F77" s="2">
        <v>23204</v>
      </c>
      <c r="G77" t="s">
        <v>21</v>
      </c>
      <c r="H77" t="s">
        <v>35</v>
      </c>
    </row>
    <row r="78" spans="1:8" hidden="1" x14ac:dyDescent="0.25">
      <c r="A78" t="s">
        <v>14</v>
      </c>
      <c r="B78" t="s">
        <v>33</v>
      </c>
      <c r="C78" t="s">
        <v>56</v>
      </c>
      <c r="D78" t="s">
        <v>11</v>
      </c>
      <c r="E78" s="1">
        <v>42736</v>
      </c>
      <c r="F78" s="2">
        <v>23204</v>
      </c>
      <c r="G78" t="s">
        <v>53</v>
      </c>
      <c r="H78" t="s">
        <v>35</v>
      </c>
    </row>
    <row r="79" spans="1:8" hidden="1" x14ac:dyDescent="0.25">
      <c r="A79" t="s">
        <v>32</v>
      </c>
      <c r="B79" t="s">
        <v>29</v>
      </c>
      <c r="C79" t="s">
        <v>25</v>
      </c>
      <c r="D79" t="s">
        <v>26</v>
      </c>
      <c r="E79" s="1">
        <v>42233</v>
      </c>
      <c r="F79" s="2">
        <v>22622</v>
      </c>
      <c r="G79" t="s">
        <v>22</v>
      </c>
      <c r="H79" t="s">
        <v>35</v>
      </c>
    </row>
    <row r="80" spans="1:8" hidden="1" x14ac:dyDescent="0.25">
      <c r="A80" t="s">
        <v>32</v>
      </c>
      <c r="B80" t="s">
        <v>9</v>
      </c>
      <c r="C80" t="s">
        <v>42</v>
      </c>
      <c r="D80" t="s">
        <v>11</v>
      </c>
      <c r="E80" s="1">
        <v>42017</v>
      </c>
      <c r="F80" s="2">
        <v>22094</v>
      </c>
      <c r="G80" t="s">
        <v>53</v>
      </c>
      <c r="H80" t="s">
        <v>37</v>
      </c>
    </row>
    <row r="81" spans="1:8" hidden="1" x14ac:dyDescent="0.25">
      <c r="A81" t="s">
        <v>8</v>
      </c>
      <c r="B81" t="s">
        <v>33</v>
      </c>
      <c r="C81" t="s">
        <v>49</v>
      </c>
      <c r="D81" t="s">
        <v>11</v>
      </c>
      <c r="E81" s="1">
        <v>42522</v>
      </c>
      <c r="F81" s="2">
        <v>21247</v>
      </c>
      <c r="G81" t="s">
        <v>21</v>
      </c>
      <c r="H81" t="s">
        <v>37</v>
      </c>
    </row>
    <row r="82" spans="1:8" hidden="1" x14ac:dyDescent="0.25">
      <c r="A82" t="s">
        <v>32</v>
      </c>
      <c r="B82" t="s">
        <v>9</v>
      </c>
      <c r="C82" t="s">
        <v>25</v>
      </c>
      <c r="D82" t="s">
        <v>26</v>
      </c>
      <c r="E82" s="1">
        <v>42032</v>
      </c>
      <c r="F82" s="2">
        <v>20781</v>
      </c>
      <c r="G82" t="s">
        <v>53</v>
      </c>
      <c r="H82" t="s">
        <v>31</v>
      </c>
    </row>
    <row r="83" spans="1:8" hidden="1" x14ac:dyDescent="0.25">
      <c r="A83" t="s">
        <v>14</v>
      </c>
      <c r="B83" t="s">
        <v>9</v>
      </c>
      <c r="C83" t="s">
        <v>45</v>
      </c>
      <c r="D83" t="s">
        <v>39</v>
      </c>
      <c r="E83" s="1">
        <v>42645</v>
      </c>
      <c r="F83" s="2">
        <v>20160</v>
      </c>
      <c r="G83" t="s">
        <v>46</v>
      </c>
      <c r="H83" t="s">
        <v>19</v>
      </c>
    </row>
    <row r="84" spans="1:8" hidden="1" x14ac:dyDescent="0.25">
      <c r="A84" t="s">
        <v>32</v>
      </c>
      <c r="B84" t="s">
        <v>9</v>
      </c>
      <c r="C84" t="s">
        <v>43</v>
      </c>
      <c r="D84" t="s">
        <v>39</v>
      </c>
      <c r="E84" s="1">
        <v>42312</v>
      </c>
      <c r="F84" s="2">
        <v>19796</v>
      </c>
      <c r="G84" t="s">
        <v>44</v>
      </c>
      <c r="H84" t="s">
        <v>23</v>
      </c>
    </row>
    <row r="85" spans="1:8" hidden="1" x14ac:dyDescent="0.25">
      <c r="A85" t="s">
        <v>20</v>
      </c>
      <c r="B85" t="s">
        <v>33</v>
      </c>
      <c r="C85" t="s">
        <v>50</v>
      </c>
      <c r="D85" t="s">
        <v>11</v>
      </c>
      <c r="E85" s="1">
        <v>42662</v>
      </c>
      <c r="F85" s="2">
        <v>19737</v>
      </c>
      <c r="G85" t="s">
        <v>46</v>
      </c>
      <c r="H85" t="s">
        <v>19</v>
      </c>
    </row>
    <row r="86" spans="1:8" hidden="1" x14ac:dyDescent="0.25">
      <c r="A86" t="s">
        <v>32</v>
      </c>
      <c r="B86" t="s">
        <v>9</v>
      </c>
      <c r="C86" t="s">
        <v>34</v>
      </c>
      <c r="D86" t="s">
        <v>26</v>
      </c>
      <c r="E86" s="1">
        <v>42280</v>
      </c>
      <c r="F86" s="2">
        <v>19625</v>
      </c>
      <c r="G86" t="s">
        <v>46</v>
      </c>
      <c r="H86" t="s">
        <v>13</v>
      </c>
    </row>
    <row r="87" spans="1:8" x14ac:dyDescent="0.25">
      <c r="A87" t="s">
        <v>32</v>
      </c>
      <c r="B87" t="s">
        <v>15</v>
      </c>
      <c r="C87" t="s">
        <v>38</v>
      </c>
      <c r="D87" t="s">
        <v>39</v>
      </c>
      <c r="E87" s="1">
        <v>42295</v>
      </c>
      <c r="F87" s="2">
        <v>19502</v>
      </c>
      <c r="G87" t="s">
        <v>46</v>
      </c>
      <c r="H87" t="s">
        <v>23</v>
      </c>
    </row>
    <row r="88" spans="1:8" hidden="1" x14ac:dyDescent="0.25">
      <c r="A88" t="s">
        <v>24</v>
      </c>
      <c r="B88" t="s">
        <v>9</v>
      </c>
      <c r="C88" t="s">
        <v>34</v>
      </c>
      <c r="D88" t="s">
        <v>26</v>
      </c>
      <c r="E88" s="1">
        <v>42221</v>
      </c>
      <c r="F88" s="2">
        <v>18498</v>
      </c>
      <c r="G88" t="s">
        <v>22</v>
      </c>
      <c r="H88" t="s">
        <v>47</v>
      </c>
    </row>
    <row r="89" spans="1:8" hidden="1" x14ac:dyDescent="0.25">
      <c r="A89" t="s">
        <v>14</v>
      </c>
      <c r="B89" t="s">
        <v>29</v>
      </c>
      <c r="C89" t="s">
        <v>42</v>
      </c>
      <c r="D89" t="s">
        <v>11</v>
      </c>
      <c r="E89" s="1">
        <v>42726</v>
      </c>
      <c r="F89" s="2">
        <v>3000</v>
      </c>
      <c r="G89" t="s">
        <v>30</v>
      </c>
      <c r="H89" t="s">
        <v>23</v>
      </c>
    </row>
    <row r="90" spans="1:8" x14ac:dyDescent="0.25">
      <c r="A90" t="s">
        <v>14</v>
      </c>
      <c r="B90" t="s">
        <v>15</v>
      </c>
      <c r="C90" t="s">
        <v>34</v>
      </c>
      <c r="D90" t="s">
        <v>26</v>
      </c>
      <c r="E90" s="1">
        <v>42208</v>
      </c>
      <c r="F90" s="2">
        <v>17403</v>
      </c>
      <c r="G90" t="s">
        <v>27</v>
      </c>
      <c r="H90" t="s">
        <v>41</v>
      </c>
    </row>
    <row r="91" spans="1:8" hidden="1" x14ac:dyDescent="0.25">
      <c r="A91" t="s">
        <v>32</v>
      </c>
      <c r="B91" t="s">
        <v>29</v>
      </c>
      <c r="C91" t="s">
        <v>43</v>
      </c>
      <c r="D91" t="s">
        <v>39</v>
      </c>
      <c r="E91" s="1">
        <v>42683</v>
      </c>
      <c r="F91" s="2">
        <v>17160</v>
      </c>
      <c r="G91" t="s">
        <v>44</v>
      </c>
      <c r="H91" t="s">
        <v>47</v>
      </c>
    </row>
    <row r="92" spans="1:8" hidden="1" x14ac:dyDescent="0.25">
      <c r="A92" t="s">
        <v>32</v>
      </c>
      <c r="B92" t="s">
        <v>29</v>
      </c>
      <c r="C92" t="s">
        <v>43</v>
      </c>
      <c r="D92" t="s">
        <v>39</v>
      </c>
      <c r="E92" s="1">
        <v>42736</v>
      </c>
      <c r="F92" s="2">
        <v>17160</v>
      </c>
      <c r="G92" t="s">
        <v>53</v>
      </c>
      <c r="H92" t="s">
        <v>47</v>
      </c>
    </row>
    <row r="93" spans="1:8" hidden="1" x14ac:dyDescent="0.25">
      <c r="A93" t="s">
        <v>32</v>
      </c>
      <c r="B93" t="s">
        <v>29</v>
      </c>
      <c r="C93" t="s">
        <v>57</v>
      </c>
      <c r="D93" t="s">
        <v>39</v>
      </c>
      <c r="E93" s="1">
        <v>42683</v>
      </c>
      <c r="F93" s="2">
        <v>17160</v>
      </c>
      <c r="G93" t="s">
        <v>44</v>
      </c>
      <c r="H93" t="s">
        <v>47</v>
      </c>
    </row>
    <row r="94" spans="1:8" hidden="1" x14ac:dyDescent="0.25">
      <c r="A94" t="s">
        <v>32</v>
      </c>
      <c r="B94" t="s">
        <v>29</v>
      </c>
      <c r="C94" t="s">
        <v>58</v>
      </c>
      <c r="D94" t="s">
        <v>39</v>
      </c>
      <c r="E94" s="1">
        <v>42736</v>
      </c>
      <c r="F94" s="2">
        <v>17160</v>
      </c>
      <c r="G94" t="s">
        <v>53</v>
      </c>
      <c r="H94" t="s">
        <v>47</v>
      </c>
    </row>
    <row r="95" spans="1:8" hidden="1" x14ac:dyDescent="0.25">
      <c r="A95" t="s">
        <v>32</v>
      </c>
      <c r="B95" t="s">
        <v>29</v>
      </c>
      <c r="C95" t="s">
        <v>57</v>
      </c>
      <c r="D95" t="s">
        <v>39</v>
      </c>
      <c r="E95" s="1">
        <v>42683</v>
      </c>
      <c r="F95" s="2">
        <v>17160</v>
      </c>
      <c r="G95" t="s">
        <v>44</v>
      </c>
      <c r="H95" t="s">
        <v>47</v>
      </c>
    </row>
    <row r="96" spans="1:8" hidden="1" x14ac:dyDescent="0.25">
      <c r="A96" t="s">
        <v>32</v>
      </c>
      <c r="B96" t="s">
        <v>29</v>
      </c>
      <c r="C96" t="s">
        <v>57</v>
      </c>
      <c r="D96" t="s">
        <v>39</v>
      </c>
      <c r="E96" s="1">
        <v>42683</v>
      </c>
      <c r="F96" s="2">
        <v>17160</v>
      </c>
      <c r="G96" t="s">
        <v>44</v>
      </c>
      <c r="H96" t="s">
        <v>47</v>
      </c>
    </row>
    <row r="97" spans="1:8" hidden="1" x14ac:dyDescent="0.25">
      <c r="A97" t="s">
        <v>24</v>
      </c>
      <c r="B97" t="s">
        <v>33</v>
      </c>
      <c r="C97" t="s">
        <v>38</v>
      </c>
      <c r="D97" t="s">
        <v>39</v>
      </c>
      <c r="E97" s="1">
        <v>42090</v>
      </c>
      <c r="F97" s="2">
        <v>17117</v>
      </c>
      <c r="G97" t="s">
        <v>51</v>
      </c>
      <c r="H97" t="s">
        <v>35</v>
      </c>
    </row>
    <row r="98" spans="1:8" hidden="1" x14ac:dyDescent="0.25">
      <c r="A98" t="s">
        <v>24</v>
      </c>
      <c r="B98" t="s">
        <v>9</v>
      </c>
      <c r="C98" t="s">
        <v>25</v>
      </c>
      <c r="D98" t="s">
        <v>26</v>
      </c>
      <c r="E98" s="1">
        <v>42174</v>
      </c>
      <c r="F98" s="2">
        <v>17005</v>
      </c>
      <c r="G98" t="s">
        <v>21</v>
      </c>
      <c r="H98" t="s">
        <v>31</v>
      </c>
    </row>
    <row r="99" spans="1:8" hidden="1" x14ac:dyDescent="0.25">
      <c r="A99" t="s">
        <v>32</v>
      </c>
      <c r="B99" t="s">
        <v>9</v>
      </c>
      <c r="C99" t="s">
        <v>34</v>
      </c>
      <c r="D99" t="s">
        <v>26</v>
      </c>
      <c r="E99" s="1">
        <v>42646</v>
      </c>
      <c r="F99" s="2">
        <v>16963</v>
      </c>
      <c r="G99" t="s">
        <v>46</v>
      </c>
      <c r="H99" t="s">
        <v>23</v>
      </c>
    </row>
    <row r="100" spans="1:8" hidden="1" x14ac:dyDescent="0.25">
      <c r="A100" t="s">
        <v>20</v>
      </c>
      <c r="B100" t="s">
        <v>9</v>
      </c>
      <c r="C100" t="s">
        <v>50</v>
      </c>
      <c r="D100" t="s">
        <v>11</v>
      </c>
      <c r="E100" s="1">
        <v>42469</v>
      </c>
      <c r="F100" s="2">
        <v>16823</v>
      </c>
      <c r="G100" t="s">
        <v>12</v>
      </c>
      <c r="H100" t="s">
        <v>13</v>
      </c>
    </row>
    <row r="101" spans="1:8" hidden="1" x14ac:dyDescent="0.25">
      <c r="A101" t="s">
        <v>24</v>
      </c>
      <c r="B101" t="s">
        <v>33</v>
      </c>
      <c r="C101" t="s">
        <v>48</v>
      </c>
      <c r="D101" t="s">
        <v>17</v>
      </c>
      <c r="E101" s="1">
        <v>42444</v>
      </c>
      <c r="F101" s="2">
        <v>16164</v>
      </c>
      <c r="G101" t="s">
        <v>51</v>
      </c>
      <c r="H101" t="s">
        <v>37</v>
      </c>
    </row>
    <row r="102" spans="1:8" x14ac:dyDescent="0.25">
      <c r="A102" t="s">
        <v>24</v>
      </c>
      <c r="B102" t="s">
        <v>15</v>
      </c>
      <c r="C102" t="s">
        <v>34</v>
      </c>
      <c r="D102" t="s">
        <v>26</v>
      </c>
      <c r="E102" s="1">
        <v>42697</v>
      </c>
      <c r="F102" s="2">
        <v>16066</v>
      </c>
      <c r="G102" t="s">
        <v>44</v>
      </c>
      <c r="H102" t="s">
        <v>41</v>
      </c>
    </row>
    <row r="103" spans="1:8" hidden="1" x14ac:dyDescent="0.25">
      <c r="A103" t="s">
        <v>24</v>
      </c>
      <c r="B103" t="s">
        <v>33</v>
      </c>
      <c r="C103" t="s">
        <v>48</v>
      </c>
      <c r="D103" t="s">
        <v>17</v>
      </c>
      <c r="E103" s="1">
        <v>42111</v>
      </c>
      <c r="F103" s="2">
        <v>15503</v>
      </c>
      <c r="G103" t="s">
        <v>12</v>
      </c>
      <c r="H103" t="s">
        <v>13</v>
      </c>
    </row>
    <row r="104" spans="1:8" x14ac:dyDescent="0.25">
      <c r="A104" t="s">
        <v>20</v>
      </c>
      <c r="B104" t="s">
        <v>15</v>
      </c>
      <c r="C104" t="s">
        <v>16</v>
      </c>
      <c r="D104" t="s">
        <v>17</v>
      </c>
      <c r="E104" s="1">
        <v>42072</v>
      </c>
      <c r="F104" s="2">
        <v>15041</v>
      </c>
      <c r="G104" t="s">
        <v>51</v>
      </c>
      <c r="H104" t="s">
        <v>13</v>
      </c>
    </row>
    <row r="105" spans="1:8" hidden="1" x14ac:dyDescent="0.25">
      <c r="A105" t="s">
        <v>32</v>
      </c>
      <c r="B105" t="s">
        <v>33</v>
      </c>
      <c r="C105" t="s">
        <v>49</v>
      </c>
      <c r="D105" t="s">
        <v>11</v>
      </c>
      <c r="E105" s="1">
        <v>42283</v>
      </c>
      <c r="F105" s="2">
        <v>14924</v>
      </c>
      <c r="G105" t="s">
        <v>46</v>
      </c>
      <c r="H105" t="s">
        <v>19</v>
      </c>
    </row>
    <row r="106" spans="1:8" hidden="1" x14ac:dyDescent="0.25">
      <c r="A106" t="s">
        <v>20</v>
      </c>
      <c r="B106" t="s">
        <v>33</v>
      </c>
      <c r="C106" t="s">
        <v>38</v>
      </c>
      <c r="D106" t="s">
        <v>39</v>
      </c>
      <c r="E106" s="1">
        <v>42178</v>
      </c>
      <c r="F106" s="2">
        <v>14616</v>
      </c>
      <c r="G106" t="s">
        <v>21</v>
      </c>
      <c r="H106" t="s">
        <v>23</v>
      </c>
    </row>
    <row r="107" spans="1:8" hidden="1" x14ac:dyDescent="0.25">
      <c r="A107" t="s">
        <v>8</v>
      </c>
      <c r="B107" t="s">
        <v>33</v>
      </c>
      <c r="C107" t="s">
        <v>49</v>
      </c>
      <c r="D107" t="s">
        <v>11</v>
      </c>
      <c r="E107" s="1">
        <v>42721</v>
      </c>
      <c r="F107" s="2">
        <v>14525</v>
      </c>
      <c r="G107" t="s">
        <v>30</v>
      </c>
      <c r="H107" t="s">
        <v>31</v>
      </c>
    </row>
    <row r="108" spans="1:8" x14ac:dyDescent="0.25">
      <c r="A108" t="s">
        <v>24</v>
      </c>
      <c r="B108" t="s">
        <v>15</v>
      </c>
      <c r="C108" t="s">
        <v>34</v>
      </c>
      <c r="D108" t="s">
        <v>26</v>
      </c>
      <c r="E108" s="1">
        <v>42614</v>
      </c>
      <c r="F108" s="2">
        <v>14308</v>
      </c>
      <c r="G108" t="s">
        <v>36</v>
      </c>
      <c r="H108" t="s">
        <v>37</v>
      </c>
    </row>
    <row r="109" spans="1:8" hidden="1" x14ac:dyDescent="0.25">
      <c r="A109" t="s">
        <v>32</v>
      </c>
      <c r="B109" t="s">
        <v>29</v>
      </c>
      <c r="C109" t="s">
        <v>38</v>
      </c>
      <c r="D109" t="s">
        <v>39</v>
      </c>
      <c r="E109" s="1">
        <v>42418</v>
      </c>
      <c r="F109" s="2">
        <v>13558</v>
      </c>
      <c r="G109" t="s">
        <v>40</v>
      </c>
      <c r="H109" t="s">
        <v>23</v>
      </c>
    </row>
    <row r="110" spans="1:8" hidden="1" x14ac:dyDescent="0.25">
      <c r="A110" t="s">
        <v>24</v>
      </c>
      <c r="B110" t="s">
        <v>33</v>
      </c>
      <c r="C110" t="s">
        <v>48</v>
      </c>
      <c r="D110" t="s">
        <v>17</v>
      </c>
      <c r="E110" s="1">
        <v>42208</v>
      </c>
      <c r="F110" s="2">
        <v>13553</v>
      </c>
      <c r="G110" t="s">
        <v>27</v>
      </c>
      <c r="H110" t="s">
        <v>31</v>
      </c>
    </row>
    <row r="111" spans="1:8" hidden="1" x14ac:dyDescent="0.25">
      <c r="A111" t="s">
        <v>14</v>
      </c>
      <c r="B111" t="s">
        <v>29</v>
      </c>
      <c r="C111" t="s">
        <v>50</v>
      </c>
      <c r="D111" t="s">
        <v>11</v>
      </c>
      <c r="E111" s="1">
        <v>42126</v>
      </c>
      <c r="F111" s="2">
        <v>13197</v>
      </c>
      <c r="G111" t="s">
        <v>18</v>
      </c>
      <c r="H111" t="s">
        <v>19</v>
      </c>
    </row>
    <row r="112" spans="1:8" hidden="1" x14ac:dyDescent="0.25">
      <c r="A112" t="s">
        <v>24</v>
      </c>
      <c r="B112" t="s">
        <v>9</v>
      </c>
      <c r="C112" t="s">
        <v>48</v>
      </c>
      <c r="D112" t="s">
        <v>17</v>
      </c>
      <c r="E112" s="1">
        <v>42508</v>
      </c>
      <c r="F112" s="2">
        <v>13066</v>
      </c>
      <c r="G112" t="s">
        <v>18</v>
      </c>
      <c r="H112" t="s">
        <v>31</v>
      </c>
    </row>
    <row r="113" spans="1:8" hidden="1" x14ac:dyDescent="0.25">
      <c r="A113" t="s">
        <v>24</v>
      </c>
      <c r="B113" t="s">
        <v>9</v>
      </c>
      <c r="C113" t="s">
        <v>48</v>
      </c>
      <c r="D113" t="s">
        <v>17</v>
      </c>
      <c r="E113" s="1">
        <v>42736</v>
      </c>
      <c r="F113" s="2">
        <v>13066</v>
      </c>
      <c r="G113" t="s">
        <v>53</v>
      </c>
      <c r="H113" t="s">
        <v>31</v>
      </c>
    </row>
    <row r="114" spans="1:8" hidden="1" x14ac:dyDescent="0.25">
      <c r="A114" t="s">
        <v>24</v>
      </c>
      <c r="B114" t="s">
        <v>9</v>
      </c>
      <c r="C114" t="s">
        <v>59</v>
      </c>
      <c r="D114" t="s">
        <v>17</v>
      </c>
      <c r="E114" s="1">
        <v>42736</v>
      </c>
      <c r="F114" s="2">
        <v>13066</v>
      </c>
      <c r="G114" t="s">
        <v>53</v>
      </c>
      <c r="H114" t="s">
        <v>31</v>
      </c>
    </row>
    <row r="115" spans="1:8" hidden="1" x14ac:dyDescent="0.25">
      <c r="A115" t="s">
        <v>24</v>
      </c>
      <c r="B115" t="s">
        <v>9</v>
      </c>
      <c r="C115" t="s">
        <v>59</v>
      </c>
      <c r="D115" t="s">
        <v>17</v>
      </c>
      <c r="E115" s="1">
        <v>42736</v>
      </c>
      <c r="F115" s="2">
        <v>13066</v>
      </c>
      <c r="G115" t="s">
        <v>53</v>
      </c>
      <c r="H115" t="s">
        <v>31</v>
      </c>
    </row>
    <row r="116" spans="1:8" hidden="1" x14ac:dyDescent="0.25">
      <c r="A116" t="s">
        <v>24</v>
      </c>
      <c r="B116" t="s">
        <v>9</v>
      </c>
      <c r="C116" t="s">
        <v>59</v>
      </c>
      <c r="D116" t="s">
        <v>17</v>
      </c>
      <c r="E116" s="1">
        <v>42736</v>
      </c>
      <c r="F116" s="2">
        <v>13066</v>
      </c>
      <c r="G116" t="s">
        <v>53</v>
      </c>
      <c r="H116" t="s">
        <v>31</v>
      </c>
    </row>
    <row r="117" spans="1:8" hidden="1" x14ac:dyDescent="0.25">
      <c r="A117" t="s">
        <v>14</v>
      </c>
      <c r="B117" t="s">
        <v>9</v>
      </c>
      <c r="C117" t="s">
        <v>42</v>
      </c>
      <c r="D117" t="s">
        <v>11</v>
      </c>
      <c r="E117" s="1">
        <v>42560</v>
      </c>
      <c r="F117" s="2">
        <v>11608</v>
      </c>
      <c r="G117" t="s">
        <v>27</v>
      </c>
      <c r="H117" t="s">
        <v>35</v>
      </c>
    </row>
    <row r="118" spans="1:8" hidden="1" x14ac:dyDescent="0.25">
      <c r="A118" t="s">
        <v>24</v>
      </c>
      <c r="B118" t="s">
        <v>9</v>
      </c>
      <c r="C118" t="s">
        <v>48</v>
      </c>
      <c r="D118" t="s">
        <v>17</v>
      </c>
      <c r="E118" s="1">
        <v>42633</v>
      </c>
      <c r="F118" s="2">
        <v>11080</v>
      </c>
      <c r="G118" t="s">
        <v>36</v>
      </c>
      <c r="H118" t="s">
        <v>37</v>
      </c>
    </row>
    <row r="119" spans="1:8" hidden="1" x14ac:dyDescent="0.25">
      <c r="A119" t="s">
        <v>8</v>
      </c>
      <c r="B119" t="s">
        <v>33</v>
      </c>
      <c r="C119" t="s">
        <v>49</v>
      </c>
      <c r="D119" t="s">
        <v>11</v>
      </c>
      <c r="E119" s="1">
        <v>42350</v>
      </c>
      <c r="F119" s="2">
        <v>10575</v>
      </c>
      <c r="G119" t="s">
        <v>30</v>
      </c>
      <c r="H119" t="s">
        <v>13</v>
      </c>
    </row>
    <row r="120" spans="1:8" hidden="1" x14ac:dyDescent="0.25">
      <c r="A120" t="s">
        <v>20</v>
      </c>
      <c r="B120" t="s">
        <v>29</v>
      </c>
      <c r="C120" t="s">
        <v>16</v>
      </c>
      <c r="D120" t="s">
        <v>17</v>
      </c>
      <c r="E120" s="1">
        <v>42461</v>
      </c>
      <c r="F120" s="2">
        <v>10325</v>
      </c>
      <c r="G120" t="s">
        <v>12</v>
      </c>
      <c r="H120" t="s">
        <v>19</v>
      </c>
    </row>
    <row r="121" spans="1:8" x14ac:dyDescent="0.25">
      <c r="A121" t="s">
        <v>14</v>
      </c>
      <c r="B121" t="s">
        <v>15</v>
      </c>
      <c r="C121" t="s">
        <v>45</v>
      </c>
      <c r="D121" t="s">
        <v>39</v>
      </c>
      <c r="E121" s="1">
        <v>42071</v>
      </c>
      <c r="F121" s="2">
        <v>10189</v>
      </c>
      <c r="G121" t="s">
        <v>51</v>
      </c>
      <c r="H121" t="s">
        <v>23</v>
      </c>
    </row>
    <row r="122" spans="1:8" hidden="1" x14ac:dyDescent="0.25">
      <c r="A122" t="s">
        <v>14</v>
      </c>
      <c r="B122" t="s">
        <v>9</v>
      </c>
      <c r="C122" t="s">
        <v>60</v>
      </c>
      <c r="D122" t="s">
        <v>26</v>
      </c>
      <c r="E122" s="1">
        <v>42397</v>
      </c>
      <c r="F122" s="2">
        <v>10000</v>
      </c>
      <c r="G122" t="s">
        <v>53</v>
      </c>
      <c r="H122" t="s">
        <v>19</v>
      </c>
    </row>
    <row r="123" spans="1:8" hidden="1" x14ac:dyDescent="0.25">
      <c r="A123" t="s">
        <v>24</v>
      </c>
      <c r="B123" t="s">
        <v>33</v>
      </c>
      <c r="C123" t="s">
        <v>48</v>
      </c>
      <c r="D123" t="s">
        <v>17</v>
      </c>
      <c r="E123" s="1">
        <v>42350</v>
      </c>
      <c r="F123" s="2">
        <v>9708</v>
      </c>
      <c r="G123" t="s">
        <v>30</v>
      </c>
      <c r="H123" t="s">
        <v>37</v>
      </c>
    </row>
    <row r="124" spans="1:8" hidden="1" x14ac:dyDescent="0.25">
      <c r="A124" t="s">
        <v>24</v>
      </c>
      <c r="B124" t="s">
        <v>33</v>
      </c>
      <c r="C124" t="s">
        <v>48</v>
      </c>
      <c r="D124" t="s">
        <v>17</v>
      </c>
      <c r="E124" s="1">
        <v>42736</v>
      </c>
      <c r="F124" s="2">
        <v>9708</v>
      </c>
      <c r="G124" t="s">
        <v>53</v>
      </c>
      <c r="H124" t="s">
        <v>37</v>
      </c>
    </row>
    <row r="125" spans="1:8" hidden="1" x14ac:dyDescent="0.25">
      <c r="A125" t="s">
        <v>24</v>
      </c>
      <c r="B125" t="s">
        <v>33</v>
      </c>
      <c r="C125" t="s">
        <v>61</v>
      </c>
      <c r="D125" t="s">
        <v>17</v>
      </c>
      <c r="E125" s="1">
        <v>42736</v>
      </c>
      <c r="F125" s="2">
        <v>9708</v>
      </c>
      <c r="G125" t="s">
        <v>53</v>
      </c>
      <c r="H125" t="s">
        <v>37</v>
      </c>
    </row>
    <row r="126" spans="1:8" hidden="1" x14ac:dyDescent="0.25">
      <c r="A126" t="s">
        <v>24</v>
      </c>
      <c r="B126" t="s">
        <v>33</v>
      </c>
      <c r="C126" t="s">
        <v>61</v>
      </c>
      <c r="D126" t="s">
        <v>17</v>
      </c>
      <c r="E126" s="1">
        <v>42736</v>
      </c>
      <c r="F126" s="2">
        <v>9708</v>
      </c>
      <c r="G126" t="s">
        <v>53</v>
      </c>
      <c r="H126" t="s">
        <v>37</v>
      </c>
    </row>
    <row r="127" spans="1:8" hidden="1" x14ac:dyDescent="0.25">
      <c r="A127" t="s">
        <v>24</v>
      </c>
      <c r="B127" t="s">
        <v>33</v>
      </c>
      <c r="C127" t="s">
        <v>61</v>
      </c>
      <c r="D127" t="s">
        <v>17</v>
      </c>
      <c r="E127" s="1">
        <v>42736</v>
      </c>
      <c r="F127" s="2">
        <v>9708</v>
      </c>
      <c r="G127" t="s">
        <v>53</v>
      </c>
      <c r="H127" t="s">
        <v>37</v>
      </c>
    </row>
    <row r="128" spans="1:8" hidden="1" x14ac:dyDescent="0.25">
      <c r="A128" t="s">
        <v>32</v>
      </c>
      <c r="B128" t="s">
        <v>9</v>
      </c>
      <c r="C128" t="s">
        <v>48</v>
      </c>
      <c r="D128" t="s">
        <v>17</v>
      </c>
      <c r="E128" s="1">
        <v>42155</v>
      </c>
      <c r="F128" s="2">
        <v>9524</v>
      </c>
      <c r="G128" t="s">
        <v>18</v>
      </c>
      <c r="H128" t="s">
        <v>41</v>
      </c>
    </row>
    <row r="129" spans="1:8" x14ac:dyDescent="0.25">
      <c r="A129" t="s">
        <v>32</v>
      </c>
      <c r="B129" t="s">
        <v>15</v>
      </c>
      <c r="C129" t="s">
        <v>45</v>
      </c>
      <c r="D129" t="s">
        <v>39</v>
      </c>
      <c r="E129" s="1">
        <v>42203</v>
      </c>
      <c r="F129" s="2">
        <v>9323</v>
      </c>
      <c r="G129" t="s">
        <v>27</v>
      </c>
      <c r="H129" t="s">
        <v>37</v>
      </c>
    </row>
    <row r="130" spans="1:8" x14ac:dyDescent="0.25">
      <c r="A130" t="s">
        <v>32</v>
      </c>
      <c r="B130" t="s">
        <v>15</v>
      </c>
      <c r="C130" t="s">
        <v>38</v>
      </c>
      <c r="D130" t="s">
        <v>39</v>
      </c>
      <c r="E130" s="1">
        <v>42469</v>
      </c>
      <c r="F130" s="2">
        <v>9096</v>
      </c>
      <c r="G130" t="s">
        <v>12</v>
      </c>
      <c r="H130" t="s">
        <v>19</v>
      </c>
    </row>
    <row r="131" spans="1:8" hidden="1" x14ac:dyDescent="0.25">
      <c r="A131" t="s">
        <v>14</v>
      </c>
      <c r="B131" t="s">
        <v>33</v>
      </c>
      <c r="C131" t="s">
        <v>48</v>
      </c>
      <c r="D131" t="s">
        <v>17</v>
      </c>
      <c r="E131" s="1">
        <v>42367</v>
      </c>
      <c r="F131" s="2">
        <v>8618</v>
      </c>
      <c r="G131" t="s">
        <v>30</v>
      </c>
      <c r="H131" t="s">
        <v>23</v>
      </c>
    </row>
    <row r="132" spans="1:8" hidden="1" x14ac:dyDescent="0.25">
      <c r="A132" t="s">
        <v>14</v>
      </c>
      <c r="B132" t="s">
        <v>33</v>
      </c>
      <c r="C132" t="s">
        <v>48</v>
      </c>
      <c r="D132" t="s">
        <v>17</v>
      </c>
      <c r="E132" s="1">
        <v>42736</v>
      </c>
      <c r="F132" s="2">
        <v>8618</v>
      </c>
      <c r="G132" t="s">
        <v>53</v>
      </c>
      <c r="H132" t="s">
        <v>23</v>
      </c>
    </row>
    <row r="133" spans="1:8" hidden="1" x14ac:dyDescent="0.25">
      <c r="A133" t="s">
        <v>14</v>
      </c>
      <c r="B133" t="s">
        <v>33</v>
      </c>
      <c r="C133" t="s">
        <v>62</v>
      </c>
      <c r="D133" t="s">
        <v>17</v>
      </c>
      <c r="E133" s="1">
        <v>42736</v>
      </c>
      <c r="F133" s="2">
        <v>8618</v>
      </c>
      <c r="G133" t="s">
        <v>53</v>
      </c>
      <c r="H133" t="s">
        <v>23</v>
      </c>
    </row>
    <row r="134" spans="1:8" hidden="1" x14ac:dyDescent="0.25">
      <c r="A134" t="s">
        <v>14</v>
      </c>
      <c r="B134" t="s">
        <v>33</v>
      </c>
      <c r="C134" t="s">
        <v>62</v>
      </c>
      <c r="D134" t="s">
        <v>17</v>
      </c>
      <c r="E134" s="1">
        <v>42736</v>
      </c>
      <c r="F134" s="2">
        <v>8618</v>
      </c>
      <c r="G134" t="s">
        <v>53</v>
      </c>
      <c r="H134" t="s">
        <v>23</v>
      </c>
    </row>
    <row r="135" spans="1:8" hidden="1" x14ac:dyDescent="0.25">
      <c r="A135" t="s">
        <v>14</v>
      </c>
      <c r="B135" t="s">
        <v>33</v>
      </c>
      <c r="C135" t="s">
        <v>62</v>
      </c>
      <c r="D135" t="s">
        <v>17</v>
      </c>
      <c r="E135" s="1">
        <v>42736</v>
      </c>
      <c r="F135" s="2">
        <v>8618</v>
      </c>
      <c r="G135" t="s">
        <v>53</v>
      </c>
      <c r="H135" t="s">
        <v>23</v>
      </c>
    </row>
    <row r="136" spans="1:8" x14ac:dyDescent="0.25">
      <c r="A136" t="s">
        <v>14</v>
      </c>
      <c r="B136" t="s">
        <v>15</v>
      </c>
      <c r="C136" t="s">
        <v>16</v>
      </c>
      <c r="D136" t="s">
        <v>17</v>
      </c>
      <c r="E136" s="1">
        <v>42596</v>
      </c>
      <c r="F136" s="2">
        <v>8126</v>
      </c>
      <c r="G136" t="s">
        <v>22</v>
      </c>
      <c r="H136" t="s">
        <v>19</v>
      </c>
    </row>
    <row r="137" spans="1:8" hidden="1" x14ac:dyDescent="0.25">
      <c r="A137" t="s">
        <v>24</v>
      </c>
      <c r="B137" t="s">
        <v>33</v>
      </c>
      <c r="C137" t="s">
        <v>43</v>
      </c>
      <c r="D137" t="s">
        <v>39</v>
      </c>
      <c r="E137" s="1">
        <v>42208</v>
      </c>
      <c r="F137" s="2">
        <v>7914</v>
      </c>
      <c r="G137" t="s">
        <v>27</v>
      </c>
      <c r="H137" t="s">
        <v>47</v>
      </c>
    </row>
    <row r="138" spans="1:8" hidden="1" x14ac:dyDescent="0.25">
      <c r="A138" t="s">
        <v>32</v>
      </c>
      <c r="B138" t="s">
        <v>29</v>
      </c>
      <c r="C138" t="s">
        <v>43</v>
      </c>
      <c r="D138" t="s">
        <v>39</v>
      </c>
      <c r="E138" s="1">
        <v>42445</v>
      </c>
      <c r="F138" s="2">
        <v>7882</v>
      </c>
      <c r="G138" t="s">
        <v>51</v>
      </c>
      <c r="H138" t="s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9E59-8A12-4FD8-8B46-2C9E9A43829E}">
  <sheetPr codeName="Planilha3"/>
  <dimension ref="A1:H7"/>
  <sheetViews>
    <sheetView workbookViewId="0">
      <selection sqref="A1:H7"/>
    </sheetView>
  </sheetViews>
  <sheetFormatPr defaultRowHeight="15" x14ac:dyDescent="0.25"/>
  <cols>
    <col min="1" max="1" width="9.5703125" customWidth="1"/>
    <col min="2" max="2" width="10.28515625" customWidth="1"/>
    <col min="3" max="3" width="12" customWidth="1"/>
    <col min="5" max="5" width="15.85546875" customWidth="1"/>
    <col min="7" max="7" width="15.7109375" customWidth="1"/>
    <col min="8" max="8" width="21.57031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 t="s">
        <v>10</v>
      </c>
      <c r="D2" t="s">
        <v>11</v>
      </c>
      <c r="E2" s="1">
        <v>42485</v>
      </c>
      <c r="F2">
        <v>43622</v>
      </c>
      <c r="G2" t="s">
        <v>12</v>
      </c>
      <c r="H2" t="s">
        <v>13</v>
      </c>
    </row>
    <row r="3" spans="1:8" x14ac:dyDescent="0.25">
      <c r="A3" t="s">
        <v>8</v>
      </c>
      <c r="B3" t="s">
        <v>15</v>
      </c>
      <c r="C3" t="s">
        <v>10</v>
      </c>
      <c r="D3" t="s">
        <v>11</v>
      </c>
      <c r="E3" s="1">
        <v>42539</v>
      </c>
      <c r="F3">
        <v>23874</v>
      </c>
      <c r="G3" t="s">
        <v>21</v>
      </c>
      <c r="H3" t="s">
        <v>31</v>
      </c>
    </row>
    <row r="4" spans="1:8" x14ac:dyDescent="0.25">
      <c r="A4" t="s">
        <v>8</v>
      </c>
      <c r="B4" t="s">
        <v>9</v>
      </c>
      <c r="C4" t="s">
        <v>10</v>
      </c>
      <c r="D4" t="s">
        <v>11</v>
      </c>
      <c r="E4" s="1">
        <v>42169</v>
      </c>
      <c r="F4">
        <v>28208</v>
      </c>
      <c r="G4" t="s">
        <v>21</v>
      </c>
      <c r="H4" t="s">
        <v>37</v>
      </c>
    </row>
    <row r="5" spans="1:8" x14ac:dyDescent="0.25">
      <c r="A5" t="s">
        <v>32</v>
      </c>
      <c r="B5" t="s">
        <v>33</v>
      </c>
      <c r="C5" t="s">
        <v>10</v>
      </c>
      <c r="D5" t="s">
        <v>11</v>
      </c>
      <c r="E5" s="1">
        <v>42078</v>
      </c>
      <c r="F5">
        <v>35960</v>
      </c>
      <c r="G5" t="s">
        <v>51</v>
      </c>
      <c r="H5" t="s">
        <v>31</v>
      </c>
    </row>
    <row r="6" spans="1:8" x14ac:dyDescent="0.25">
      <c r="A6" t="s">
        <v>8</v>
      </c>
      <c r="B6" t="s">
        <v>15</v>
      </c>
      <c r="C6" t="s">
        <v>10</v>
      </c>
      <c r="D6" t="s">
        <v>11</v>
      </c>
      <c r="E6" s="1">
        <v>42357</v>
      </c>
      <c r="F6">
        <v>38470</v>
      </c>
      <c r="G6" t="s">
        <v>30</v>
      </c>
      <c r="H6" t="s">
        <v>37</v>
      </c>
    </row>
    <row r="7" spans="1:8" x14ac:dyDescent="0.25">
      <c r="A7" t="s">
        <v>32</v>
      </c>
      <c r="B7" t="s">
        <v>33</v>
      </c>
      <c r="C7" t="s">
        <v>10</v>
      </c>
      <c r="D7" t="s">
        <v>11</v>
      </c>
      <c r="E7" s="1">
        <v>42260</v>
      </c>
      <c r="F7">
        <v>40341</v>
      </c>
      <c r="G7" t="s">
        <v>36</v>
      </c>
      <c r="H7" t="s">
        <v>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2A194-9B6B-4136-B41A-2C7950D1F51A}">
  <sheetPr codeName="Planilha4"/>
  <dimension ref="A1:N61"/>
  <sheetViews>
    <sheetView showGridLines="0" tabSelected="1" zoomScale="70" zoomScaleNormal="70" workbookViewId="0">
      <selection activeCell="P3" sqref="P3"/>
    </sheetView>
  </sheetViews>
  <sheetFormatPr defaultRowHeight="15" x14ac:dyDescent="0.25"/>
  <cols>
    <col min="1" max="14" width="9.140625" style="8"/>
  </cols>
  <sheetData>
    <row r="1" spans="1:14" x14ac:dyDescent="0.25">
      <c r="A1" s="11" t="s">
        <v>68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14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14" ht="7.5" customHeight="1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</row>
    <row r="5" spans="1:14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</row>
    <row r="8" spans="1:14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 ht="85.5" customHeight="1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1:14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1:14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 ht="7.5" customHeigh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1:14" x14ac:dyDescent="0.25">
      <c r="A14" s="12" t="s">
        <v>69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</row>
    <row r="15" spans="1:14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</row>
    <row r="31" spans="1:14" ht="75.75" customHeight="1" x14ac:dyDescent="0.25"/>
    <row r="32" spans="1:14" x14ac:dyDescent="0.25">
      <c r="A32" s="12" t="s">
        <v>70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</row>
    <row r="33" spans="1:14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</row>
    <row r="60" spans="1:14" ht="15" customHeight="1" x14ac:dyDescent="0.25">
      <c r="A60" s="12" t="s">
        <v>71</v>
      </c>
      <c r="B60" s="12"/>
      <c r="C60" s="12"/>
      <c r="D60" s="12"/>
      <c r="E60" s="12"/>
      <c r="F60" s="12"/>
      <c r="G60" s="12"/>
      <c r="H60" s="12" t="s">
        <v>72</v>
      </c>
      <c r="I60" s="12"/>
      <c r="J60" s="12"/>
      <c r="K60" s="12"/>
      <c r="L60" s="12"/>
      <c r="M60" s="12"/>
      <c r="N60" s="12"/>
    </row>
    <row r="61" spans="1:14" ht="15" customHeight="1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</row>
  </sheetData>
  <mergeCells count="9">
    <mergeCell ref="A32:N33"/>
    <mergeCell ref="A60:G61"/>
    <mergeCell ref="H60:N61"/>
    <mergeCell ref="A1:N3"/>
    <mergeCell ref="A4:N4"/>
    <mergeCell ref="A9:N12"/>
    <mergeCell ref="A13:N13"/>
    <mergeCell ref="A14:N15"/>
    <mergeCell ref="A5:N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Tabelas Dinâmicas</vt:lpstr>
      <vt:lpstr>Base</vt:lpstr>
      <vt:lpstr>Planilha3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Leticia Costa Andrade</dc:creator>
  <cp:keywords/>
  <dc:description/>
  <cp:lastModifiedBy>Haos-Professor</cp:lastModifiedBy>
  <cp:revision/>
  <dcterms:created xsi:type="dcterms:W3CDTF">2017-01-25T15:40:50Z</dcterms:created>
  <dcterms:modified xsi:type="dcterms:W3CDTF">2022-09-22T23:50:33Z</dcterms:modified>
  <cp:category/>
  <cp:contentStatus/>
</cp:coreProperties>
</file>